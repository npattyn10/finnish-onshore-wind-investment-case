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1504633D-13E9-415F-9CD3-6E56E11EDC29}" xr6:coauthVersionLast="47" xr6:coauthVersionMax="47" xr10:uidLastSave="{00000000-0000-0000-0000-000000000000}"/>
  <bookViews>
    <workbookView xWindow="0" yWindow="0" windowWidth="16384" windowHeight="8192" tabRatio="500" firstSheet="4" activeTab="4" xr2:uid="{00000000-000D-0000-FFFF-FFFF00000000}"/>
  </bookViews>
  <sheets>
    <sheet name="Cover" sheetId="1" r:id="rId1"/>
    <sheet name="Inputs" sheetId="2" r:id="rId2"/>
    <sheet name="Prices" sheetId="3" r:id="rId3"/>
    <sheet name="Production" sheetId="4" r:id="rId4"/>
    <sheet name="Revenue" sheetId="5" r:id="rId5"/>
    <sheet name="Financing" sheetId="6" r:id="rId6"/>
    <sheet name="Taxes" sheetId="7" r:id="rId7"/>
    <sheet name="Cashflow" sheetId="8" r:id="rId8"/>
    <sheet name="Outputs" sheetId="9" r:id="rId9"/>
    <sheet name="BESS" sheetId="10" r:id="rId10"/>
    <sheet name="Checks" sheetId="11" r:id="rId11"/>
    <sheet name="Sources &amp; Checks" sheetId="12" r:id="rId12"/>
    <sheet name="Changelog" sheetId="13" r:id="rId13"/>
  </sheets>
  <definedNames>
    <definedName name="_xlnm._FilterDatabase" localSheetId="1" hidden="1">Inputs!$A$5:$H$40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6" i="11" l="1"/>
  <c r="C26" i="11" s="1"/>
  <c r="B24" i="11"/>
  <c r="C24" i="11" s="1"/>
  <c r="D22" i="11"/>
  <c r="B22" i="11"/>
  <c r="C22" i="11" s="1"/>
  <c r="B20" i="11"/>
  <c r="C20" i="11" s="1"/>
  <c r="B19" i="11"/>
  <c r="C19" i="11" s="1"/>
  <c r="B17" i="11"/>
  <c r="C17" i="11" s="1"/>
  <c r="B12" i="11"/>
  <c r="C12" i="11" s="1"/>
  <c r="B9" i="11"/>
  <c r="C9" i="11" s="1"/>
  <c r="B8" i="11"/>
  <c r="C8" i="11" s="1"/>
  <c r="B7" i="11"/>
  <c r="C7" i="11" s="1"/>
  <c r="B6" i="11"/>
  <c r="C6" i="11" s="1"/>
  <c r="B5" i="11"/>
  <c r="C5" i="11" s="1"/>
  <c r="S94" i="10"/>
  <c r="S93" i="10"/>
  <c r="S92" i="10"/>
  <c r="S91" i="10"/>
  <c r="S90" i="10"/>
  <c r="S89" i="10"/>
  <c r="S88" i="10"/>
  <c r="S87" i="10"/>
  <c r="S86" i="10"/>
  <c r="S85" i="10"/>
  <c r="S84" i="10"/>
  <c r="S83" i="10"/>
  <c r="S82" i="10"/>
  <c r="S81" i="10"/>
  <c r="S80" i="10"/>
  <c r="S79" i="10"/>
  <c r="S78" i="10"/>
  <c r="S77" i="10"/>
  <c r="S76" i="10"/>
  <c r="S75" i="10"/>
  <c r="S74" i="10"/>
  <c r="S73" i="10"/>
  <c r="S72" i="10"/>
  <c r="S71" i="10"/>
  <c r="S70" i="10"/>
  <c r="S69" i="10"/>
  <c r="S68" i="10"/>
  <c r="S67" i="10"/>
  <c r="S66" i="10"/>
  <c r="S65" i="10"/>
  <c r="S64" i="10"/>
  <c r="S63" i="10"/>
  <c r="S62" i="10"/>
  <c r="B29" i="10"/>
  <c r="B28" i="10"/>
  <c r="B27" i="10"/>
  <c r="B26" i="10"/>
  <c r="B23" i="10"/>
  <c r="B12" i="10"/>
  <c r="B36" i="9"/>
  <c r="O37" i="8"/>
  <c r="E37" i="8"/>
  <c r="O36" i="8"/>
  <c r="E36" i="8"/>
  <c r="O35" i="8"/>
  <c r="E35" i="8"/>
  <c r="O34" i="8"/>
  <c r="E34" i="8"/>
  <c r="O33" i="8"/>
  <c r="E33" i="8"/>
  <c r="O32" i="8"/>
  <c r="E32" i="8"/>
  <c r="O31" i="8"/>
  <c r="O30" i="8"/>
  <c r="E30" i="8"/>
  <c r="O29" i="8"/>
  <c r="E29" i="8"/>
  <c r="O28" i="8"/>
  <c r="E28" i="8"/>
  <c r="O27" i="8"/>
  <c r="E27" i="8"/>
  <c r="O26" i="8"/>
  <c r="E26" i="8"/>
  <c r="O25" i="8"/>
  <c r="E25" i="8"/>
  <c r="O24" i="8"/>
  <c r="E24" i="8"/>
  <c r="O23" i="8"/>
  <c r="E23" i="8"/>
  <c r="O22" i="8"/>
  <c r="O21" i="8"/>
  <c r="E21" i="8"/>
  <c r="O20" i="8"/>
  <c r="E20" i="8"/>
  <c r="O19" i="8"/>
  <c r="E19" i="8"/>
  <c r="O18" i="8"/>
  <c r="E18" i="8"/>
  <c r="O17" i="8"/>
  <c r="E17" i="8"/>
  <c r="O16" i="8"/>
  <c r="E16" i="8"/>
  <c r="O15" i="8"/>
  <c r="E15" i="8"/>
  <c r="O14" i="8"/>
  <c r="E14" i="8"/>
  <c r="O13" i="8"/>
  <c r="E13" i="8"/>
  <c r="O12" i="8"/>
  <c r="E12" i="8"/>
  <c r="O11" i="8"/>
  <c r="E11" i="8"/>
  <c r="O10" i="8"/>
  <c r="E10" i="8"/>
  <c r="O9" i="8"/>
  <c r="E9" i="8"/>
  <c r="O8" i="8"/>
  <c r="E8" i="8"/>
  <c r="O7" i="8"/>
  <c r="E7" i="8"/>
  <c r="O6" i="8"/>
  <c r="O5" i="8"/>
  <c r="E5" i="8"/>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4" i="6"/>
  <c r="G9" i="6"/>
  <c r="B7" i="6"/>
  <c r="B6" i="6"/>
  <c r="G5" i="6"/>
  <c r="B5" i="6"/>
  <c r="M37" i="4"/>
  <c r="D37" i="4"/>
  <c r="C37" i="4"/>
  <c r="B37" i="4"/>
  <c r="E37" i="4" s="1"/>
  <c r="M36" i="4"/>
  <c r="D36" i="4"/>
  <c r="C36" i="4"/>
  <c r="B36" i="4"/>
  <c r="E36" i="4" s="1"/>
  <c r="M35" i="4"/>
  <c r="D35" i="4"/>
  <c r="C35" i="4"/>
  <c r="B35" i="4"/>
  <c r="E35" i="4" s="1"/>
  <c r="M34" i="4"/>
  <c r="D34" i="4"/>
  <c r="C34" i="4"/>
  <c r="B34" i="4"/>
  <c r="E34" i="4" s="1"/>
  <c r="M33" i="4"/>
  <c r="D33" i="4"/>
  <c r="C33" i="4"/>
  <c r="B33" i="4"/>
  <c r="E33" i="4" s="1"/>
  <c r="M32" i="4"/>
  <c r="D32" i="4"/>
  <c r="C32" i="4"/>
  <c r="B32" i="4"/>
  <c r="E32" i="4" s="1"/>
  <c r="M31" i="4"/>
  <c r="D31" i="4"/>
  <c r="C31" i="4"/>
  <c r="B31" i="4"/>
  <c r="E31" i="4" s="1"/>
  <c r="M30" i="4"/>
  <c r="D30" i="4"/>
  <c r="C30" i="4"/>
  <c r="B30" i="4"/>
  <c r="E30" i="4" s="1"/>
  <c r="M29" i="4"/>
  <c r="D29" i="4"/>
  <c r="C29" i="4"/>
  <c r="B29" i="4"/>
  <c r="E29" i="4" s="1"/>
  <c r="M28" i="4"/>
  <c r="D28" i="4"/>
  <c r="C28" i="4"/>
  <c r="B28" i="4"/>
  <c r="E28" i="4" s="1"/>
  <c r="M27" i="4"/>
  <c r="D27" i="4"/>
  <c r="C27" i="4"/>
  <c r="B27" i="4"/>
  <c r="E27" i="4" s="1"/>
  <c r="M26" i="4"/>
  <c r="D26" i="4"/>
  <c r="C26" i="4"/>
  <c r="B26" i="4"/>
  <c r="E26" i="4" s="1"/>
  <c r="M25" i="4"/>
  <c r="D25" i="4"/>
  <c r="C25" i="4"/>
  <c r="B25" i="4"/>
  <c r="E25" i="4" s="1"/>
  <c r="M24" i="4"/>
  <c r="D24" i="4"/>
  <c r="C24" i="4"/>
  <c r="B24" i="4"/>
  <c r="E24" i="4" s="1"/>
  <c r="M23" i="4"/>
  <c r="D23" i="4"/>
  <c r="C23" i="4"/>
  <c r="B23" i="4"/>
  <c r="E23" i="4" s="1"/>
  <c r="M22" i="4"/>
  <c r="D22" i="4"/>
  <c r="C22" i="4"/>
  <c r="B22" i="4"/>
  <c r="E22" i="4" s="1"/>
  <c r="M21" i="4"/>
  <c r="D21" i="4"/>
  <c r="C21" i="4"/>
  <c r="B21" i="4"/>
  <c r="E21" i="4" s="1"/>
  <c r="M20" i="4"/>
  <c r="D20" i="4"/>
  <c r="C20" i="4"/>
  <c r="B20" i="4"/>
  <c r="E20" i="4" s="1"/>
  <c r="M19" i="4"/>
  <c r="D19" i="4"/>
  <c r="C19" i="4"/>
  <c r="B19" i="4"/>
  <c r="E19" i="4" s="1"/>
  <c r="M18" i="4"/>
  <c r="D18" i="4"/>
  <c r="C18" i="4"/>
  <c r="B18" i="4"/>
  <c r="E18" i="4" s="1"/>
  <c r="M17" i="4"/>
  <c r="D17" i="4"/>
  <c r="C17" i="4"/>
  <c r="B17" i="4"/>
  <c r="E17" i="4" s="1"/>
  <c r="M16" i="4"/>
  <c r="D16" i="4"/>
  <c r="C16" i="4"/>
  <c r="B16" i="4"/>
  <c r="E16" i="4" s="1"/>
  <c r="M15" i="4"/>
  <c r="D15" i="4"/>
  <c r="C15" i="4"/>
  <c r="B15" i="4"/>
  <c r="E15" i="4" s="1"/>
  <c r="M14" i="4"/>
  <c r="D14" i="4"/>
  <c r="C14" i="4"/>
  <c r="B14" i="4"/>
  <c r="E14" i="4" s="1"/>
  <c r="M13" i="4"/>
  <c r="D13" i="4"/>
  <c r="C13" i="4"/>
  <c r="B13" i="4"/>
  <c r="E13" i="4" s="1"/>
  <c r="M12" i="4"/>
  <c r="D12" i="4"/>
  <c r="C12" i="4"/>
  <c r="B12" i="4"/>
  <c r="E12" i="4" s="1"/>
  <c r="M11" i="4"/>
  <c r="D11" i="4"/>
  <c r="C11" i="4"/>
  <c r="B11" i="4"/>
  <c r="E11" i="4" s="1"/>
  <c r="M10" i="4"/>
  <c r="D10" i="4"/>
  <c r="C10" i="4"/>
  <c r="B10" i="4"/>
  <c r="E10" i="4" s="1"/>
  <c r="M9" i="4"/>
  <c r="D9" i="4"/>
  <c r="C9" i="4"/>
  <c r="B9" i="4"/>
  <c r="E9" i="4" s="1"/>
  <c r="M8" i="4"/>
  <c r="D8" i="4"/>
  <c r="C8" i="4"/>
  <c r="B8" i="4"/>
  <c r="E8" i="4" s="1"/>
  <c r="M7" i="4"/>
  <c r="D7" i="4"/>
  <c r="C7" i="4"/>
  <c r="B7" i="4"/>
  <c r="E7" i="4" s="1"/>
  <c r="M6" i="4"/>
  <c r="D6" i="4"/>
  <c r="C6" i="4"/>
  <c r="B6" i="4"/>
  <c r="E6" i="4" s="1"/>
  <c r="M5" i="4"/>
  <c r="D5" i="4"/>
  <c r="C5" i="4"/>
  <c r="B5" i="4"/>
  <c r="E5" i="4" s="1"/>
  <c r="M40" i="3"/>
  <c r="L40" i="3"/>
  <c r="K40" i="3"/>
  <c r="H40" i="3"/>
  <c r="E40" i="3"/>
  <c r="D40" i="3"/>
  <c r="C40" i="3"/>
  <c r="M39" i="3"/>
  <c r="L39" i="3"/>
  <c r="K39" i="3"/>
  <c r="H39" i="3"/>
  <c r="E39" i="3"/>
  <c r="D39" i="3"/>
  <c r="C39" i="3"/>
  <c r="M38" i="3"/>
  <c r="L38" i="3"/>
  <c r="K38" i="3"/>
  <c r="H38" i="3"/>
  <c r="E38" i="3"/>
  <c r="D38" i="3"/>
  <c r="C38" i="3"/>
  <c r="M37" i="3"/>
  <c r="L37" i="3"/>
  <c r="K37" i="3"/>
  <c r="H37" i="3"/>
  <c r="E37" i="3"/>
  <c r="D37" i="3"/>
  <c r="C37" i="3"/>
  <c r="M36" i="3"/>
  <c r="L36" i="3"/>
  <c r="K36" i="3"/>
  <c r="H36" i="3"/>
  <c r="E36" i="3"/>
  <c r="D36" i="3"/>
  <c r="C36" i="3"/>
  <c r="M35" i="3"/>
  <c r="L35" i="3"/>
  <c r="K35" i="3"/>
  <c r="H35" i="3"/>
  <c r="E35" i="3"/>
  <c r="D35" i="3"/>
  <c r="C35" i="3"/>
  <c r="M34" i="3"/>
  <c r="L34" i="3"/>
  <c r="E31" i="8" s="1"/>
  <c r="K34" i="3"/>
  <c r="H34" i="3"/>
  <c r="E34" i="3"/>
  <c r="D34" i="3"/>
  <c r="C34" i="3"/>
  <c r="M33" i="3"/>
  <c r="L33" i="3"/>
  <c r="K33" i="3"/>
  <c r="H33" i="3"/>
  <c r="E33" i="3"/>
  <c r="D33" i="3"/>
  <c r="C33" i="3"/>
  <c r="M32" i="3"/>
  <c r="L32" i="3"/>
  <c r="K32" i="3"/>
  <c r="H32" i="3"/>
  <c r="E32" i="3"/>
  <c r="D32" i="3"/>
  <c r="C32" i="3"/>
  <c r="M31" i="3"/>
  <c r="L31" i="3"/>
  <c r="K31" i="3"/>
  <c r="H31" i="3"/>
  <c r="E31" i="3"/>
  <c r="D31" i="3"/>
  <c r="C31" i="3"/>
  <c r="M30" i="3"/>
  <c r="L30" i="3"/>
  <c r="K30" i="3"/>
  <c r="H30" i="3"/>
  <c r="E30" i="3"/>
  <c r="D30" i="3"/>
  <c r="C30" i="3"/>
  <c r="M29" i="3"/>
  <c r="L29" i="3"/>
  <c r="K29" i="3"/>
  <c r="H29" i="3"/>
  <c r="E29" i="3"/>
  <c r="D29" i="3"/>
  <c r="C29" i="3"/>
  <c r="M28" i="3"/>
  <c r="L28" i="3"/>
  <c r="K28" i="3"/>
  <c r="H28" i="3"/>
  <c r="E28" i="3"/>
  <c r="D28" i="3"/>
  <c r="C28" i="3"/>
  <c r="M27" i="3"/>
  <c r="L27" i="3"/>
  <c r="K27" i="3"/>
  <c r="H27" i="3"/>
  <c r="E27" i="3"/>
  <c r="D27" i="3"/>
  <c r="C27" i="3"/>
  <c r="M26" i="3"/>
  <c r="L26" i="3"/>
  <c r="K26" i="3"/>
  <c r="H26" i="3"/>
  <c r="E26" i="3"/>
  <c r="D26" i="3"/>
  <c r="C26" i="3"/>
  <c r="M25" i="3"/>
  <c r="L25" i="3"/>
  <c r="E22" i="8" s="1"/>
  <c r="K25" i="3"/>
  <c r="H25" i="3"/>
  <c r="E25" i="3"/>
  <c r="D25" i="3"/>
  <c r="C25" i="3"/>
  <c r="M24" i="3"/>
  <c r="L24" i="3"/>
  <c r="K24" i="3"/>
  <c r="H24" i="3"/>
  <c r="E24" i="3"/>
  <c r="D24" i="3"/>
  <c r="C24" i="3"/>
  <c r="M23" i="3"/>
  <c r="L23" i="3"/>
  <c r="K23" i="3"/>
  <c r="H23" i="3"/>
  <c r="E23" i="3"/>
  <c r="D23" i="3"/>
  <c r="C23" i="3"/>
  <c r="M22" i="3"/>
  <c r="L22" i="3"/>
  <c r="K22" i="3"/>
  <c r="H22" i="3"/>
  <c r="E22" i="3"/>
  <c r="D22" i="3"/>
  <c r="C22" i="3"/>
  <c r="M21" i="3"/>
  <c r="L21" i="3"/>
  <c r="K21" i="3"/>
  <c r="H21" i="3"/>
  <c r="E21" i="3"/>
  <c r="D21" i="3"/>
  <c r="C21" i="3"/>
  <c r="M20" i="3"/>
  <c r="L20" i="3"/>
  <c r="K20" i="3"/>
  <c r="H20" i="3"/>
  <c r="E20" i="3"/>
  <c r="D20" i="3"/>
  <c r="C20" i="3"/>
  <c r="M19" i="3"/>
  <c r="L19" i="3"/>
  <c r="K19" i="3"/>
  <c r="H19" i="3"/>
  <c r="E19" i="3"/>
  <c r="D19" i="3"/>
  <c r="C19" i="3"/>
  <c r="M18" i="3"/>
  <c r="L18" i="3"/>
  <c r="K18" i="3"/>
  <c r="H18" i="3"/>
  <c r="E18" i="3"/>
  <c r="D18" i="3"/>
  <c r="C18" i="3"/>
  <c r="M17" i="3"/>
  <c r="L17" i="3"/>
  <c r="K17" i="3"/>
  <c r="H17" i="3"/>
  <c r="E17" i="3"/>
  <c r="D17" i="3"/>
  <c r="C17" i="3"/>
  <c r="M16" i="3"/>
  <c r="L16" i="3"/>
  <c r="K16" i="3"/>
  <c r="H16" i="3"/>
  <c r="E16" i="3"/>
  <c r="D16" i="3"/>
  <c r="C16" i="3"/>
  <c r="M15" i="3"/>
  <c r="L15" i="3"/>
  <c r="K15" i="3"/>
  <c r="H15" i="3"/>
  <c r="E15" i="3"/>
  <c r="D15" i="3"/>
  <c r="C15" i="3"/>
  <c r="M14" i="3"/>
  <c r="L14" i="3"/>
  <c r="K14" i="3"/>
  <c r="H14" i="3"/>
  <c r="E14" i="3"/>
  <c r="D14" i="3"/>
  <c r="C14" i="3"/>
  <c r="M13" i="3"/>
  <c r="L13" i="3"/>
  <c r="K13" i="3"/>
  <c r="H13" i="3"/>
  <c r="E13" i="3"/>
  <c r="D13" i="3"/>
  <c r="C13" i="3"/>
  <c r="U12" i="3"/>
  <c r="T12" i="3"/>
  <c r="S12" i="3"/>
  <c r="M12" i="3"/>
  <c r="L12" i="3"/>
  <c r="K12" i="3"/>
  <c r="H12" i="3"/>
  <c r="E12" i="3"/>
  <c r="D12" i="3"/>
  <c r="C12" i="3"/>
  <c r="U11" i="3"/>
  <c r="T11" i="3"/>
  <c r="S11" i="3"/>
  <c r="M11" i="3"/>
  <c r="L11" i="3"/>
  <c r="K11" i="3"/>
  <c r="H11" i="3"/>
  <c r="E11" i="3"/>
  <c r="D11" i="3"/>
  <c r="C11" i="3"/>
  <c r="U10" i="3"/>
  <c r="T10" i="3"/>
  <c r="S10" i="3"/>
  <c r="M10" i="3"/>
  <c r="L10" i="3"/>
  <c r="K10" i="3"/>
  <c r="H10" i="3"/>
  <c r="E10" i="3"/>
  <c r="D10" i="3"/>
  <c r="C10" i="3"/>
  <c r="U9" i="3"/>
  <c r="T9" i="3"/>
  <c r="S9" i="3"/>
  <c r="M9" i="3"/>
  <c r="L9" i="3"/>
  <c r="K9" i="3"/>
  <c r="H9" i="3"/>
  <c r="E9" i="3"/>
  <c r="D9" i="3"/>
  <c r="C9" i="3"/>
  <c r="U8" i="3"/>
  <c r="O9" i="3" s="1"/>
  <c r="T8" i="3"/>
  <c r="N9" i="3" s="1"/>
  <c r="S8" i="3"/>
  <c r="B9" i="3" s="1"/>
  <c r="O8" i="3"/>
  <c r="N8" i="3"/>
  <c r="M8" i="3"/>
  <c r="L8" i="3"/>
  <c r="K8" i="3"/>
  <c r="H8" i="3"/>
  <c r="E8" i="3"/>
  <c r="D8" i="3"/>
  <c r="C8" i="3"/>
  <c r="B18" i="11" s="1"/>
  <c r="C18" i="11" s="1"/>
  <c r="B8" i="3"/>
  <c r="B5" i="3"/>
  <c r="B4" i="3"/>
  <c r="B3" i="3"/>
  <c r="B14" i="1"/>
  <c r="B13" i="1"/>
  <c r="B12" i="1"/>
  <c r="F40" i="3" l="1"/>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P9" i="3"/>
  <c r="G9" i="3" s="1"/>
  <c r="P8" i="3"/>
  <c r="G8" i="3" s="1"/>
  <c r="B11" i="3"/>
  <c r="P11" i="3" s="1"/>
  <c r="G11" i="3" s="1"/>
  <c r="B10" i="3"/>
  <c r="P10" i="3" s="1"/>
  <c r="G10" i="3" s="1"/>
  <c r="N11" i="3"/>
  <c r="N10" i="3"/>
  <c r="O11" i="3"/>
  <c r="O10" i="3"/>
  <c r="B21" i="3"/>
  <c r="P21" i="3" s="1"/>
  <c r="G21" i="3" s="1"/>
  <c r="B20" i="3"/>
  <c r="P20" i="3" s="1"/>
  <c r="G20" i="3" s="1"/>
  <c r="B19" i="3"/>
  <c r="P19" i="3" s="1"/>
  <c r="G19" i="3" s="1"/>
  <c r="B18" i="3"/>
  <c r="P18" i="3" s="1"/>
  <c r="G18" i="3" s="1"/>
  <c r="B17" i="3"/>
  <c r="P17" i="3" s="1"/>
  <c r="G17" i="3" s="1"/>
  <c r="B16" i="3"/>
  <c r="P16" i="3" s="1"/>
  <c r="G16" i="3" s="1"/>
  <c r="B15" i="3"/>
  <c r="P15" i="3" s="1"/>
  <c r="G15" i="3" s="1"/>
  <c r="B14" i="3"/>
  <c r="P14" i="3" s="1"/>
  <c r="G14" i="3" s="1"/>
  <c r="B13" i="3"/>
  <c r="P13" i="3" s="1"/>
  <c r="G13" i="3" s="1"/>
  <c r="B12" i="3"/>
  <c r="P12" i="3" s="1"/>
  <c r="G12" i="3" s="1"/>
  <c r="N21" i="3"/>
  <c r="N20" i="3"/>
  <c r="N19" i="3"/>
  <c r="N18" i="3"/>
  <c r="N17" i="3"/>
  <c r="N16" i="3"/>
  <c r="N15" i="3"/>
  <c r="N14" i="3"/>
  <c r="N13" i="3"/>
  <c r="N12" i="3"/>
  <c r="O21" i="3"/>
  <c r="O20" i="3"/>
  <c r="O19" i="3"/>
  <c r="O18" i="3"/>
  <c r="O17" i="3"/>
  <c r="O16" i="3"/>
  <c r="O15" i="3"/>
  <c r="O14" i="3"/>
  <c r="O13" i="3"/>
  <c r="O12" i="3"/>
  <c r="B31" i="3"/>
  <c r="P31" i="3" s="1"/>
  <c r="G31" i="3" s="1"/>
  <c r="B30" i="3"/>
  <c r="P30" i="3" s="1"/>
  <c r="G30" i="3" s="1"/>
  <c r="B29" i="3"/>
  <c r="P29" i="3" s="1"/>
  <c r="G29" i="3" s="1"/>
  <c r="B28" i="3"/>
  <c r="P28" i="3" s="1"/>
  <c r="G28" i="3" s="1"/>
  <c r="B27" i="3"/>
  <c r="P27" i="3" s="1"/>
  <c r="G27" i="3" s="1"/>
  <c r="B26" i="3"/>
  <c r="P26" i="3" s="1"/>
  <c r="G26" i="3" s="1"/>
  <c r="B25" i="3"/>
  <c r="P25" i="3" s="1"/>
  <c r="G25" i="3" s="1"/>
  <c r="B24" i="3"/>
  <c r="P24" i="3" s="1"/>
  <c r="G24" i="3" s="1"/>
  <c r="B23" i="3"/>
  <c r="P23" i="3" s="1"/>
  <c r="G23" i="3" s="1"/>
  <c r="B22" i="3"/>
  <c r="P22" i="3" s="1"/>
  <c r="G22" i="3" s="1"/>
  <c r="N31" i="3"/>
  <c r="N30" i="3"/>
  <c r="N29" i="3"/>
  <c r="N28" i="3"/>
  <c r="N27" i="3"/>
  <c r="N26" i="3"/>
  <c r="N25" i="3"/>
  <c r="N24" i="3"/>
  <c r="N23" i="3"/>
  <c r="N22" i="3"/>
  <c r="O31" i="3"/>
  <c r="O30" i="3"/>
  <c r="O29" i="3"/>
  <c r="O28" i="3"/>
  <c r="O27" i="3"/>
  <c r="O26" i="3"/>
  <c r="O25" i="3"/>
  <c r="O24" i="3"/>
  <c r="O23" i="3"/>
  <c r="O22" i="3"/>
  <c r="B40" i="3"/>
  <c r="P40" i="3" s="1"/>
  <c r="G40" i="3" s="1"/>
  <c r="B39" i="3"/>
  <c r="P39" i="3" s="1"/>
  <c r="G39" i="3" s="1"/>
  <c r="B38" i="3"/>
  <c r="P38" i="3" s="1"/>
  <c r="G38" i="3" s="1"/>
  <c r="B37" i="3"/>
  <c r="P37" i="3" s="1"/>
  <c r="G37" i="3" s="1"/>
  <c r="B36" i="3"/>
  <c r="P36" i="3" s="1"/>
  <c r="G36" i="3" s="1"/>
  <c r="B35" i="3"/>
  <c r="P35" i="3" s="1"/>
  <c r="G35" i="3" s="1"/>
  <c r="B34" i="3"/>
  <c r="P34" i="3" s="1"/>
  <c r="G34" i="3" s="1"/>
  <c r="B33" i="3"/>
  <c r="P33" i="3" s="1"/>
  <c r="G33" i="3" s="1"/>
  <c r="B32" i="3"/>
  <c r="P32" i="3" s="1"/>
  <c r="G32" i="3" s="1"/>
  <c r="N40" i="3"/>
  <c r="N39" i="3"/>
  <c r="N38" i="3"/>
  <c r="N37" i="3"/>
  <c r="N36" i="3"/>
  <c r="N35" i="3"/>
  <c r="N34" i="3"/>
  <c r="N33" i="3"/>
  <c r="N32" i="3"/>
  <c r="O40" i="3"/>
  <c r="O39" i="3"/>
  <c r="O38" i="3"/>
  <c r="O37" i="3"/>
  <c r="O36" i="3"/>
  <c r="O35" i="3"/>
  <c r="O34" i="3"/>
  <c r="O33" i="3"/>
  <c r="O32" i="3"/>
  <c r="F5" i="4"/>
  <c r="G5" i="4" s="1"/>
  <c r="J5" i="4" s="1"/>
  <c r="B5" i="5" s="1"/>
  <c r="J5" i="5"/>
  <c r="N5" i="4"/>
  <c r="F6" i="4"/>
  <c r="G6" i="4" s="1"/>
  <c r="J6" i="4" s="1"/>
  <c r="B6" i="5" s="1"/>
  <c r="C6" i="7"/>
  <c r="J6" i="5"/>
  <c r="N6" i="4"/>
  <c r="F7" i="4"/>
  <c r="G7" i="4" s="1"/>
  <c r="J7" i="4" s="1"/>
  <c r="B7" i="5" s="1"/>
  <c r="J7" i="5"/>
  <c r="N7" i="4"/>
  <c r="F8" i="4"/>
  <c r="G8" i="4" s="1"/>
  <c r="J8" i="4" s="1"/>
  <c r="B8" i="5" s="1"/>
  <c r="J8" i="5"/>
  <c r="N8" i="4"/>
  <c r="F9" i="4"/>
  <c r="G9" i="4" s="1"/>
  <c r="J9" i="4" s="1"/>
  <c r="B9" i="5" s="1"/>
  <c r="J9" i="5"/>
  <c r="N9" i="4"/>
  <c r="F10" i="4"/>
  <c r="G10" i="4" s="1"/>
  <c r="J10" i="4" s="1"/>
  <c r="B10" i="5" s="1"/>
  <c r="J10" i="5"/>
  <c r="N10" i="4"/>
  <c r="F11" i="4"/>
  <c r="G11" i="4" s="1"/>
  <c r="J11" i="4" s="1"/>
  <c r="B11" i="5" s="1"/>
  <c r="J11" i="5"/>
  <c r="N11" i="4"/>
  <c r="F12" i="4"/>
  <c r="G12" i="4" s="1"/>
  <c r="J12" i="4" s="1"/>
  <c r="B12" i="5" s="1"/>
  <c r="J12" i="5"/>
  <c r="N12" i="4"/>
  <c r="F13" i="4"/>
  <c r="G13" i="4" s="1"/>
  <c r="J13" i="4" s="1"/>
  <c r="B13" i="5" s="1"/>
  <c r="J13" i="5"/>
  <c r="N13" i="4"/>
  <c r="F14" i="4"/>
  <c r="G14" i="4" s="1"/>
  <c r="J14" i="4" s="1"/>
  <c r="B14" i="5" s="1"/>
  <c r="J14" i="5"/>
  <c r="N14" i="4"/>
  <c r="F15" i="4"/>
  <c r="G15" i="4" s="1"/>
  <c r="J15" i="4" s="1"/>
  <c r="B15" i="5" s="1"/>
  <c r="J15" i="5"/>
  <c r="N15" i="4"/>
  <c r="F16" i="4"/>
  <c r="G16" i="4" s="1"/>
  <c r="J16" i="4" s="1"/>
  <c r="B16" i="5" s="1"/>
  <c r="J16" i="5"/>
  <c r="N16" i="4"/>
  <c r="F17" i="4"/>
  <c r="G17" i="4" s="1"/>
  <c r="J17" i="4" s="1"/>
  <c r="B17" i="5" s="1"/>
  <c r="J17" i="5"/>
  <c r="N17" i="4"/>
  <c r="F18" i="4"/>
  <c r="G18" i="4" s="1"/>
  <c r="J18" i="4" s="1"/>
  <c r="B18" i="5" s="1"/>
  <c r="J18" i="5"/>
  <c r="N18" i="4"/>
  <c r="F19" i="4"/>
  <c r="G19" i="4" s="1"/>
  <c r="J19" i="4" s="1"/>
  <c r="B19" i="5" s="1"/>
  <c r="J19" i="5"/>
  <c r="N19" i="4"/>
  <c r="F20" i="4"/>
  <c r="G20" i="4" s="1"/>
  <c r="J20" i="4" s="1"/>
  <c r="B20" i="5" s="1"/>
  <c r="J20" i="5"/>
  <c r="N20" i="4"/>
  <c r="F21" i="4"/>
  <c r="G21" i="4" s="1"/>
  <c r="J21" i="4" s="1"/>
  <c r="B21" i="5" s="1"/>
  <c r="J21" i="5"/>
  <c r="N21" i="4"/>
  <c r="F22" i="4"/>
  <c r="G22" i="4" s="1"/>
  <c r="J22" i="4" s="1"/>
  <c r="B22" i="5" s="1"/>
  <c r="J22" i="5"/>
  <c r="N22" i="4"/>
  <c r="F23" i="4"/>
  <c r="G23" i="4" s="1"/>
  <c r="J23" i="4" s="1"/>
  <c r="B23" i="5" s="1"/>
  <c r="J23" i="5"/>
  <c r="N23" i="4"/>
  <c r="F24" i="4"/>
  <c r="G24" i="4" s="1"/>
  <c r="J24" i="4" s="1"/>
  <c r="B24" i="5" s="1"/>
  <c r="J24" i="5"/>
  <c r="N24" i="4"/>
  <c r="F25" i="4"/>
  <c r="G25" i="4" s="1"/>
  <c r="J25" i="4" s="1"/>
  <c r="B25" i="5" s="1"/>
  <c r="J25" i="5"/>
  <c r="N25" i="4"/>
  <c r="F26" i="4"/>
  <c r="G26" i="4" s="1"/>
  <c r="J26" i="4" s="1"/>
  <c r="B26" i="5" s="1"/>
  <c r="J26" i="5"/>
  <c r="N26" i="4"/>
  <c r="F27" i="4"/>
  <c r="G27" i="4" s="1"/>
  <c r="J27" i="4" s="1"/>
  <c r="B27" i="5" s="1"/>
  <c r="J27" i="5"/>
  <c r="N27" i="4"/>
  <c r="F28" i="4"/>
  <c r="G28" i="4" s="1"/>
  <c r="J28" i="4" s="1"/>
  <c r="B28" i="5" s="1"/>
  <c r="J28" i="5"/>
  <c r="N28" i="4"/>
  <c r="F29" i="4"/>
  <c r="G29" i="4" s="1"/>
  <c r="J29" i="4" s="1"/>
  <c r="B29" i="5" s="1"/>
  <c r="J29" i="5"/>
  <c r="N29" i="4"/>
  <c r="F30" i="4"/>
  <c r="G30" i="4" s="1"/>
  <c r="J30" i="4" s="1"/>
  <c r="B30" i="5" s="1"/>
  <c r="J30" i="5"/>
  <c r="N30" i="4"/>
  <c r="F31" i="4"/>
  <c r="G31" i="4" s="1"/>
  <c r="J31" i="4" s="1"/>
  <c r="B31" i="5" s="1"/>
  <c r="J31" i="5"/>
  <c r="N31" i="4"/>
  <c r="F32" i="4"/>
  <c r="G32" i="4" s="1"/>
  <c r="J32" i="4" s="1"/>
  <c r="B32" i="5" s="1"/>
  <c r="J32" i="5"/>
  <c r="N32" i="4"/>
  <c r="F33" i="4"/>
  <c r="G33" i="4" s="1"/>
  <c r="J33" i="4" s="1"/>
  <c r="B33" i="5" s="1"/>
  <c r="J33" i="5"/>
  <c r="N33" i="4"/>
  <c r="F34" i="4"/>
  <c r="G34" i="4" s="1"/>
  <c r="J34" i="4" s="1"/>
  <c r="B34" i="5" s="1"/>
  <c r="J34" i="5"/>
  <c r="N34" i="4"/>
  <c r="F35" i="4"/>
  <c r="G35" i="4" s="1"/>
  <c r="J35" i="4" s="1"/>
  <c r="B35" i="5" s="1"/>
  <c r="J35" i="5"/>
  <c r="N35" i="4"/>
  <c r="F36" i="4"/>
  <c r="G36" i="4" s="1"/>
  <c r="J36" i="4" s="1"/>
  <c r="B36" i="5" s="1"/>
  <c r="J36" i="5"/>
  <c r="N36" i="4"/>
  <c r="F37" i="4"/>
  <c r="G37" i="4" s="1"/>
  <c r="J37" i="4" s="1"/>
  <c r="B37" i="5" s="1"/>
  <c r="J37" i="5"/>
  <c r="N37" i="4"/>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E6" i="8"/>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E14"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K94" i="10"/>
  <c r="B94" i="10"/>
  <c r="K93" i="10"/>
  <c r="B93" i="10"/>
  <c r="K92" i="10"/>
  <c r="B92" i="10"/>
  <c r="K91" i="10"/>
  <c r="B91" i="10"/>
  <c r="K90" i="10"/>
  <c r="B90" i="10"/>
  <c r="K89" i="10"/>
  <c r="B89" i="10"/>
  <c r="K88" i="10"/>
  <c r="B88" i="10"/>
  <c r="K87" i="10"/>
  <c r="B87" i="10"/>
  <c r="K86" i="10"/>
  <c r="B86" i="10"/>
  <c r="K85" i="10"/>
  <c r="B85" i="10"/>
  <c r="K84" i="10"/>
  <c r="B84" i="10"/>
  <c r="K83" i="10"/>
  <c r="B83" i="10"/>
  <c r="K82" i="10"/>
  <c r="B82" i="10"/>
  <c r="K81" i="10"/>
  <c r="B81" i="10"/>
  <c r="K80" i="10"/>
  <c r="B80" i="10"/>
  <c r="K79" i="10"/>
  <c r="B79" i="10"/>
  <c r="K78" i="10"/>
  <c r="B78" i="10"/>
  <c r="K77" i="10"/>
  <c r="B77" i="10"/>
  <c r="K76" i="10"/>
  <c r="B76" i="10"/>
  <c r="K75" i="10"/>
  <c r="B75" i="10"/>
  <c r="K74" i="10"/>
  <c r="B74" i="10"/>
  <c r="K73" i="10"/>
  <c r="B73" i="10"/>
  <c r="K72" i="10"/>
  <c r="B72" i="10"/>
  <c r="K71" i="10"/>
  <c r="B71" i="10"/>
  <c r="K70" i="10"/>
  <c r="B70" i="10"/>
  <c r="K69" i="10"/>
  <c r="B69" i="10"/>
  <c r="K68" i="10"/>
  <c r="B68" i="10"/>
  <c r="K67" i="10"/>
  <c r="B67" i="10"/>
  <c r="K66" i="10"/>
  <c r="B66" i="10"/>
  <c r="K65" i="10"/>
  <c r="B65" i="10"/>
  <c r="K64" i="10"/>
  <c r="B64" i="10"/>
  <c r="B63" i="10"/>
  <c r="K62" i="10"/>
  <c r="B62"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K63" i="10" s="1"/>
  <c r="C62" i="10"/>
  <c r="L62" i="10" l="1"/>
  <c r="I62" i="10"/>
  <c r="H62" i="10"/>
  <c r="D62" i="10"/>
  <c r="M62" i="10"/>
  <c r="B32" i="10"/>
  <c r="L63" i="10"/>
  <c r="I63" i="10"/>
  <c r="H63" i="10"/>
  <c r="D63" i="10"/>
  <c r="I64" i="10"/>
  <c r="H64" i="10"/>
  <c r="D64" i="10"/>
  <c r="I65" i="10"/>
  <c r="H65" i="10"/>
  <c r="D65" i="10"/>
  <c r="I66" i="10"/>
  <c r="H66" i="10"/>
  <c r="D66" i="10"/>
  <c r="I67" i="10"/>
  <c r="H67" i="10"/>
  <c r="D67" i="10"/>
  <c r="I68" i="10"/>
  <c r="H68" i="10"/>
  <c r="D68" i="10"/>
  <c r="I69" i="10"/>
  <c r="H69" i="10"/>
  <c r="D69" i="10"/>
  <c r="I70" i="10"/>
  <c r="H70" i="10"/>
  <c r="D70" i="10"/>
  <c r="I71" i="10"/>
  <c r="H71" i="10"/>
  <c r="D71" i="10"/>
  <c r="I72" i="10"/>
  <c r="H72" i="10"/>
  <c r="D72" i="10"/>
  <c r="I73" i="10"/>
  <c r="H73" i="10"/>
  <c r="D73" i="10"/>
  <c r="I74" i="10"/>
  <c r="H74" i="10"/>
  <c r="D74" i="10"/>
  <c r="I75" i="10"/>
  <c r="H75" i="10"/>
  <c r="D75" i="10"/>
  <c r="I76" i="10"/>
  <c r="H76" i="10"/>
  <c r="D76" i="10"/>
  <c r="I77" i="10"/>
  <c r="H77" i="10"/>
  <c r="D77" i="10"/>
  <c r="I78" i="10"/>
  <c r="H78" i="10"/>
  <c r="D78" i="10"/>
  <c r="L79" i="10"/>
  <c r="I79" i="10"/>
  <c r="H79" i="10"/>
  <c r="D79" i="10"/>
  <c r="L80" i="10"/>
  <c r="I80" i="10"/>
  <c r="H80" i="10"/>
  <c r="D80" i="10"/>
  <c r="L81" i="10"/>
  <c r="I81" i="10"/>
  <c r="H81" i="10"/>
  <c r="D81" i="10"/>
  <c r="L82" i="10"/>
  <c r="I82" i="10"/>
  <c r="H82" i="10"/>
  <c r="D82" i="10"/>
  <c r="L83" i="10"/>
  <c r="I83" i="10"/>
  <c r="H83" i="10"/>
  <c r="D83" i="10"/>
  <c r="L84" i="10"/>
  <c r="I84" i="10"/>
  <c r="H84" i="10"/>
  <c r="D84" i="10"/>
  <c r="L85" i="10"/>
  <c r="I85" i="10"/>
  <c r="H85" i="10"/>
  <c r="D85" i="10"/>
  <c r="L86" i="10"/>
  <c r="I86" i="10"/>
  <c r="H86" i="10"/>
  <c r="D86" i="10"/>
  <c r="L87" i="10"/>
  <c r="I87" i="10"/>
  <c r="H87" i="10"/>
  <c r="D87" i="10"/>
  <c r="L88" i="10"/>
  <c r="I88" i="10"/>
  <c r="H88" i="10"/>
  <c r="D88" i="10"/>
  <c r="L89" i="10"/>
  <c r="I89" i="10"/>
  <c r="H89" i="10"/>
  <c r="D89" i="10"/>
  <c r="L90" i="10"/>
  <c r="I90" i="10"/>
  <c r="H90" i="10"/>
  <c r="D90" i="10"/>
  <c r="L91" i="10"/>
  <c r="I91" i="10"/>
  <c r="H91" i="10"/>
  <c r="D91" i="10"/>
  <c r="L92" i="10"/>
  <c r="I92" i="10"/>
  <c r="H92" i="10"/>
  <c r="D92" i="10"/>
  <c r="L93" i="10"/>
  <c r="I93" i="10"/>
  <c r="H93" i="10"/>
  <c r="D93" i="10"/>
  <c r="L94" i="10"/>
  <c r="I94" i="10"/>
  <c r="H94" i="10"/>
  <c r="D94" i="10"/>
  <c r="F14" i="6"/>
  <c r="F15" i="6"/>
  <c r="F31" i="6"/>
  <c r="F32" i="6"/>
  <c r="F33" i="6"/>
  <c r="F34" i="6"/>
  <c r="F35" i="6"/>
  <c r="F36" i="6"/>
  <c r="F37" i="6"/>
  <c r="F38" i="6"/>
  <c r="F39" i="6"/>
  <c r="F40" i="6"/>
  <c r="F41" i="6"/>
  <c r="F42" i="6"/>
  <c r="F43" i="6"/>
  <c r="F44" i="6"/>
  <c r="F45" i="6"/>
  <c r="F46" i="6"/>
  <c r="E5" i="7"/>
  <c r="G14" i="6"/>
  <c r="C7" i="7"/>
  <c r="H37" i="4"/>
  <c r="I37" i="4" s="1"/>
  <c r="E37" i="5" s="1"/>
  <c r="H37" i="5"/>
  <c r="I37" i="5"/>
  <c r="H36" i="4"/>
  <c r="I36" i="4" s="1"/>
  <c r="E36" i="5" s="1"/>
  <c r="H36" i="5"/>
  <c r="I36" i="5"/>
  <c r="H35" i="4"/>
  <c r="I35" i="4" s="1"/>
  <c r="E35" i="5" s="1"/>
  <c r="H35" i="5"/>
  <c r="I35" i="5"/>
  <c r="H34" i="4"/>
  <c r="I34" i="4" s="1"/>
  <c r="E34" i="5" s="1"/>
  <c r="H34" i="5"/>
  <c r="I34" i="5"/>
  <c r="H33" i="4"/>
  <c r="I33" i="4" s="1"/>
  <c r="E33" i="5" s="1"/>
  <c r="H33" i="5"/>
  <c r="I33" i="5"/>
  <c r="H32" i="4"/>
  <c r="I32" i="4" s="1"/>
  <c r="E32" i="5" s="1"/>
  <c r="H32" i="5"/>
  <c r="I32" i="5"/>
  <c r="H31" i="4"/>
  <c r="I31" i="4" s="1"/>
  <c r="E31" i="5" s="1"/>
  <c r="H31" i="5"/>
  <c r="I31" i="5"/>
  <c r="H30" i="4"/>
  <c r="I30" i="4" s="1"/>
  <c r="E30" i="5" s="1"/>
  <c r="H30" i="5"/>
  <c r="I30" i="5"/>
  <c r="H29" i="4"/>
  <c r="I29" i="4" s="1"/>
  <c r="E29" i="5" s="1"/>
  <c r="H29" i="5"/>
  <c r="I29" i="5"/>
  <c r="H28" i="4"/>
  <c r="I28" i="4" s="1"/>
  <c r="E28" i="5" s="1"/>
  <c r="H28" i="5"/>
  <c r="I28" i="5"/>
  <c r="H27" i="4"/>
  <c r="I27" i="4" s="1"/>
  <c r="E27" i="5" s="1"/>
  <c r="H27" i="5"/>
  <c r="I27" i="5"/>
  <c r="H26" i="4"/>
  <c r="I26" i="4" s="1"/>
  <c r="E26" i="5" s="1"/>
  <c r="H26" i="5"/>
  <c r="I26" i="5"/>
  <c r="H25" i="4"/>
  <c r="I25" i="4" s="1"/>
  <c r="E25" i="5" s="1"/>
  <c r="H25" i="5"/>
  <c r="I25" i="5"/>
  <c r="H24" i="4"/>
  <c r="I24" i="4" s="1"/>
  <c r="E24" i="5" s="1"/>
  <c r="H24" i="5"/>
  <c r="I24" i="5"/>
  <c r="H23" i="4"/>
  <c r="I23" i="4" s="1"/>
  <c r="E23" i="5" s="1"/>
  <c r="H23" i="5"/>
  <c r="I23" i="5"/>
  <c r="H22" i="4"/>
  <c r="I22" i="4" s="1"/>
  <c r="E22" i="5" s="1"/>
  <c r="H22" i="5"/>
  <c r="I22" i="5"/>
  <c r="H21" i="4"/>
  <c r="I21" i="4" s="1"/>
  <c r="E21" i="5" s="1"/>
  <c r="H21" i="5"/>
  <c r="I21" i="5"/>
  <c r="H20" i="4"/>
  <c r="I20" i="4" s="1"/>
  <c r="E20" i="5" s="1"/>
  <c r="H20" i="5"/>
  <c r="I20" i="5"/>
  <c r="H19" i="4"/>
  <c r="I19" i="4" s="1"/>
  <c r="E19" i="5" s="1"/>
  <c r="H19" i="5"/>
  <c r="I19" i="5"/>
  <c r="H18" i="4"/>
  <c r="I18" i="4" s="1"/>
  <c r="E18" i="5" s="1"/>
  <c r="H18" i="5"/>
  <c r="I18" i="5"/>
  <c r="H17" i="4"/>
  <c r="I17" i="4" s="1"/>
  <c r="E17" i="5" s="1"/>
  <c r="H17" i="5"/>
  <c r="I17" i="5"/>
  <c r="H16" i="4"/>
  <c r="I16" i="4" s="1"/>
  <c r="E16" i="5" s="1"/>
  <c r="H16" i="5"/>
  <c r="I16" i="5"/>
  <c r="H15" i="4"/>
  <c r="I15" i="4" s="1"/>
  <c r="E15" i="5" s="1"/>
  <c r="H15" i="5"/>
  <c r="I15" i="5"/>
  <c r="H14" i="4"/>
  <c r="I14" i="4" s="1"/>
  <c r="E14" i="5" s="1"/>
  <c r="H14" i="5"/>
  <c r="I14" i="5"/>
  <c r="H13" i="4"/>
  <c r="I13" i="4" s="1"/>
  <c r="E13" i="5" s="1"/>
  <c r="H13" i="5"/>
  <c r="I13" i="5"/>
  <c r="H12" i="4"/>
  <c r="I12" i="4" s="1"/>
  <c r="E12" i="5" s="1"/>
  <c r="H12" i="5"/>
  <c r="I12" i="5"/>
  <c r="H11" i="4"/>
  <c r="I11" i="4" s="1"/>
  <c r="E11" i="5" s="1"/>
  <c r="H11" i="5"/>
  <c r="I11" i="5"/>
  <c r="H10" i="4"/>
  <c r="I10" i="4" s="1"/>
  <c r="E10" i="5" s="1"/>
  <c r="H10" i="5"/>
  <c r="I10" i="5"/>
  <c r="H9" i="4"/>
  <c r="I9" i="4" s="1"/>
  <c r="E9" i="5" s="1"/>
  <c r="H9" i="5"/>
  <c r="I9" i="5"/>
  <c r="H8" i="4"/>
  <c r="I8" i="4" s="1"/>
  <c r="E8" i="5" s="1"/>
  <c r="H8" i="5"/>
  <c r="I8" i="5"/>
  <c r="H7" i="4"/>
  <c r="I7" i="4" s="1"/>
  <c r="E7" i="5" s="1"/>
  <c r="H7" i="5"/>
  <c r="I7" i="5"/>
  <c r="H6" i="4"/>
  <c r="I6" i="4" s="1"/>
  <c r="E6" i="5" s="1"/>
  <c r="H6" i="5"/>
  <c r="I6" i="5"/>
  <c r="H5" i="4"/>
  <c r="I5" i="4" s="1"/>
  <c r="E5" i="5" s="1"/>
  <c r="H5" i="5"/>
  <c r="B13" i="11"/>
  <c r="C13" i="11" s="1"/>
  <c r="I5" i="5"/>
  <c r="I8" i="3"/>
  <c r="C5" i="5" s="1"/>
  <c r="D5" i="5" s="1"/>
  <c r="G5" i="5" s="1"/>
  <c r="I9" i="3"/>
  <c r="C6" i="5" s="1"/>
  <c r="D6" i="5" s="1"/>
  <c r="G6" i="5" s="1"/>
  <c r="I10" i="3"/>
  <c r="C7" i="5" s="1"/>
  <c r="D7" i="5" s="1"/>
  <c r="G7" i="5" s="1"/>
  <c r="I11" i="3"/>
  <c r="C8" i="5" s="1"/>
  <c r="D8" i="5" s="1"/>
  <c r="G8" i="5" s="1"/>
  <c r="I12" i="3"/>
  <c r="C9" i="5" s="1"/>
  <c r="D9" i="5" s="1"/>
  <c r="G9" i="5" s="1"/>
  <c r="I13" i="3"/>
  <c r="C10" i="5" s="1"/>
  <c r="D10" i="5" s="1"/>
  <c r="G10" i="5" s="1"/>
  <c r="I14" i="3"/>
  <c r="C11" i="5" s="1"/>
  <c r="D11" i="5" s="1"/>
  <c r="G11" i="5" s="1"/>
  <c r="I15" i="3"/>
  <c r="C12" i="5" s="1"/>
  <c r="D12" i="5" s="1"/>
  <c r="G12" i="5" s="1"/>
  <c r="I16" i="3"/>
  <c r="C13" i="5" s="1"/>
  <c r="D13" i="5" s="1"/>
  <c r="G13" i="5" s="1"/>
  <c r="I17" i="3"/>
  <c r="C14" i="5" s="1"/>
  <c r="D14" i="5" s="1"/>
  <c r="G14" i="5" s="1"/>
  <c r="I18" i="3"/>
  <c r="C15" i="5" s="1"/>
  <c r="D15" i="5" s="1"/>
  <c r="G15" i="5" s="1"/>
  <c r="I19" i="3"/>
  <c r="C16" i="5" s="1"/>
  <c r="D16" i="5" s="1"/>
  <c r="G16" i="5" s="1"/>
  <c r="I20" i="3"/>
  <c r="C17" i="5" s="1"/>
  <c r="D17" i="5" s="1"/>
  <c r="G17" i="5" s="1"/>
  <c r="I21" i="3"/>
  <c r="C18" i="5" s="1"/>
  <c r="D18" i="5" s="1"/>
  <c r="G18" i="5" s="1"/>
  <c r="I22" i="3"/>
  <c r="C19" i="5" s="1"/>
  <c r="D19" i="5" s="1"/>
  <c r="G19" i="5" s="1"/>
  <c r="I23" i="3"/>
  <c r="C20" i="5" s="1"/>
  <c r="D20" i="5" s="1"/>
  <c r="G20" i="5" s="1"/>
  <c r="I24" i="3"/>
  <c r="C21" i="5" s="1"/>
  <c r="D21" i="5" s="1"/>
  <c r="G21" i="5" s="1"/>
  <c r="I25" i="3"/>
  <c r="C22" i="5" s="1"/>
  <c r="D22" i="5" s="1"/>
  <c r="G22" i="5" s="1"/>
  <c r="I26" i="3"/>
  <c r="C23" i="5" s="1"/>
  <c r="D23" i="5" s="1"/>
  <c r="G23" i="5" s="1"/>
  <c r="I27" i="3"/>
  <c r="C24" i="5" s="1"/>
  <c r="D24" i="5" s="1"/>
  <c r="G24" i="5" s="1"/>
  <c r="I28" i="3"/>
  <c r="C25" i="5" s="1"/>
  <c r="D25" i="5" s="1"/>
  <c r="G25" i="5" s="1"/>
  <c r="I29" i="3"/>
  <c r="C26" i="5" s="1"/>
  <c r="D26" i="5" s="1"/>
  <c r="G26" i="5" s="1"/>
  <c r="I30" i="3"/>
  <c r="C27" i="5" s="1"/>
  <c r="D27" i="5" s="1"/>
  <c r="G27" i="5" s="1"/>
  <c r="I31" i="3"/>
  <c r="C28" i="5" s="1"/>
  <c r="D28" i="5" s="1"/>
  <c r="G28" i="5" s="1"/>
  <c r="I32" i="3"/>
  <c r="C29" i="5" s="1"/>
  <c r="D29" i="5" s="1"/>
  <c r="G29" i="5" s="1"/>
  <c r="I33" i="3"/>
  <c r="C30" i="5" s="1"/>
  <c r="D30" i="5" s="1"/>
  <c r="G30" i="5" s="1"/>
  <c r="I34" i="3"/>
  <c r="C31" i="5" s="1"/>
  <c r="D31" i="5" s="1"/>
  <c r="G31" i="5" s="1"/>
  <c r="I35" i="3"/>
  <c r="C32" i="5" s="1"/>
  <c r="D32" i="5" s="1"/>
  <c r="G32" i="5" s="1"/>
  <c r="I36" i="3"/>
  <c r="C33" i="5" s="1"/>
  <c r="D33" i="5" s="1"/>
  <c r="G33" i="5" s="1"/>
  <c r="I37" i="3"/>
  <c r="C34" i="5" s="1"/>
  <c r="D34" i="5" s="1"/>
  <c r="G34" i="5" s="1"/>
  <c r="I38" i="3"/>
  <c r="C35" i="5" s="1"/>
  <c r="D35" i="5" s="1"/>
  <c r="G35" i="5" s="1"/>
  <c r="I39" i="3"/>
  <c r="C36" i="5" s="1"/>
  <c r="D36" i="5" s="1"/>
  <c r="G36" i="5" s="1"/>
  <c r="I40" i="3"/>
  <c r="C37" i="5" s="1"/>
  <c r="D37" i="5" s="1"/>
  <c r="G37" i="5" s="1"/>
  <c r="B37" i="8" l="1"/>
  <c r="K37" i="5"/>
  <c r="B36" i="8"/>
  <c r="K36" i="5"/>
  <c r="B35" i="8"/>
  <c r="K35" i="5"/>
  <c r="B34" i="8"/>
  <c r="K34" i="5"/>
  <c r="B33" i="8"/>
  <c r="K33" i="5"/>
  <c r="B32" i="8"/>
  <c r="K32" i="5"/>
  <c r="B31" i="8"/>
  <c r="K31" i="5"/>
  <c r="B30" i="8"/>
  <c r="K30" i="5"/>
  <c r="B29" i="8"/>
  <c r="K29" i="5"/>
  <c r="B28" i="8"/>
  <c r="K28" i="5"/>
  <c r="B27" i="8"/>
  <c r="K27" i="5"/>
  <c r="B26" i="8"/>
  <c r="K26" i="5"/>
  <c r="B25" i="8"/>
  <c r="K25" i="5"/>
  <c r="B24" i="8"/>
  <c r="K24" i="5"/>
  <c r="B23" i="8"/>
  <c r="K23" i="5"/>
  <c r="B22" i="8"/>
  <c r="K22" i="5"/>
  <c r="B21" i="8"/>
  <c r="K21" i="5"/>
  <c r="B20" i="8"/>
  <c r="K20" i="5"/>
  <c r="B19" i="8"/>
  <c r="K19" i="5"/>
  <c r="B18" i="8"/>
  <c r="K18" i="5"/>
  <c r="B17" i="8"/>
  <c r="K17" i="5"/>
  <c r="B16" i="8"/>
  <c r="K16" i="5"/>
  <c r="B15" i="8"/>
  <c r="K15" i="5"/>
  <c r="B14" i="8"/>
  <c r="K14" i="5"/>
  <c r="B13" i="8"/>
  <c r="K13" i="5"/>
  <c r="B12" i="8"/>
  <c r="K12" i="5"/>
  <c r="B11" i="8"/>
  <c r="K11" i="5"/>
  <c r="B10" i="8"/>
  <c r="K10" i="5"/>
  <c r="B9" i="8"/>
  <c r="K9" i="5"/>
  <c r="B8" i="8"/>
  <c r="K8" i="5"/>
  <c r="B7" i="8"/>
  <c r="K7" i="5"/>
  <c r="B6" i="8"/>
  <c r="K6" i="5"/>
  <c r="B5" i="8"/>
  <c r="K5" i="5"/>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8" i="7"/>
  <c r="G5" i="8"/>
  <c r="F39" i="9" s="1"/>
  <c r="I14" i="6"/>
  <c r="H14" i="6"/>
  <c r="C15" i="6" s="1"/>
  <c r="G94" i="10"/>
  <c r="J94" i="10" s="1"/>
  <c r="E94" i="10"/>
  <c r="F94" i="10" s="1"/>
  <c r="G93" i="10"/>
  <c r="J93" i="10" s="1"/>
  <c r="E93" i="10"/>
  <c r="F93" i="10" s="1"/>
  <c r="G92" i="10"/>
  <c r="J92" i="10" s="1"/>
  <c r="E92" i="10"/>
  <c r="F92" i="10" s="1"/>
  <c r="G91" i="10"/>
  <c r="J91" i="10" s="1"/>
  <c r="E91" i="10"/>
  <c r="F91" i="10" s="1"/>
  <c r="G90" i="10"/>
  <c r="J90" i="10" s="1"/>
  <c r="E90" i="10"/>
  <c r="F90" i="10" s="1"/>
  <c r="G89" i="10"/>
  <c r="J89" i="10" s="1"/>
  <c r="E89" i="10"/>
  <c r="F89" i="10" s="1"/>
  <c r="G88" i="10"/>
  <c r="J88" i="10" s="1"/>
  <c r="E88" i="10"/>
  <c r="F88" i="10" s="1"/>
  <c r="G87" i="10"/>
  <c r="J87" i="10" s="1"/>
  <c r="E87" i="10"/>
  <c r="F87" i="10" s="1"/>
  <c r="G86" i="10"/>
  <c r="J86" i="10" s="1"/>
  <c r="E86" i="10"/>
  <c r="F86" i="10" s="1"/>
  <c r="G85" i="10"/>
  <c r="J85" i="10" s="1"/>
  <c r="E85" i="10"/>
  <c r="F85" i="10" s="1"/>
  <c r="G84" i="10"/>
  <c r="J84" i="10" s="1"/>
  <c r="E84" i="10"/>
  <c r="F84" i="10" s="1"/>
  <c r="G83" i="10"/>
  <c r="J83" i="10" s="1"/>
  <c r="E83" i="10"/>
  <c r="F83" i="10" s="1"/>
  <c r="G82" i="10"/>
  <c r="J82" i="10" s="1"/>
  <c r="E82" i="10"/>
  <c r="F82" i="10" s="1"/>
  <c r="G81" i="10"/>
  <c r="J81" i="10" s="1"/>
  <c r="E81" i="10"/>
  <c r="F81" i="10" s="1"/>
  <c r="G80" i="10"/>
  <c r="J80" i="10" s="1"/>
  <c r="E80" i="10"/>
  <c r="F80" i="10" s="1"/>
  <c r="G79" i="10"/>
  <c r="J79" i="10" s="1"/>
  <c r="E79" i="10"/>
  <c r="F79" i="10" s="1"/>
  <c r="G78" i="10"/>
  <c r="J78" i="10" s="1"/>
  <c r="E78" i="10"/>
  <c r="F78" i="10" s="1"/>
  <c r="G77" i="10"/>
  <c r="J77" i="10" s="1"/>
  <c r="E77" i="10"/>
  <c r="F77" i="10" s="1"/>
  <c r="G76" i="10"/>
  <c r="J76" i="10" s="1"/>
  <c r="E76" i="10"/>
  <c r="F76" i="10" s="1"/>
  <c r="G75" i="10"/>
  <c r="J75" i="10" s="1"/>
  <c r="E75" i="10"/>
  <c r="F75" i="10" s="1"/>
  <c r="G74" i="10"/>
  <c r="J74" i="10" s="1"/>
  <c r="E74" i="10"/>
  <c r="F74" i="10" s="1"/>
  <c r="G73" i="10"/>
  <c r="J73" i="10" s="1"/>
  <c r="E73" i="10"/>
  <c r="F73" i="10" s="1"/>
  <c r="G72" i="10"/>
  <c r="J72" i="10" s="1"/>
  <c r="E72" i="10"/>
  <c r="F72" i="10" s="1"/>
  <c r="G71" i="10"/>
  <c r="J71" i="10" s="1"/>
  <c r="E71" i="10"/>
  <c r="F71" i="10" s="1"/>
  <c r="G70" i="10"/>
  <c r="J70" i="10" s="1"/>
  <c r="E70" i="10"/>
  <c r="F70" i="10" s="1"/>
  <c r="G69" i="10"/>
  <c r="J69" i="10" s="1"/>
  <c r="E69" i="10"/>
  <c r="F69" i="10" s="1"/>
  <c r="G68" i="10"/>
  <c r="J68" i="10" s="1"/>
  <c r="E68" i="10"/>
  <c r="F68" i="10" s="1"/>
  <c r="G67" i="10"/>
  <c r="J67" i="10" s="1"/>
  <c r="E67" i="10"/>
  <c r="F67" i="10" s="1"/>
  <c r="G66" i="10"/>
  <c r="J66" i="10" s="1"/>
  <c r="E66" i="10"/>
  <c r="F66" i="10" s="1"/>
  <c r="G65" i="10"/>
  <c r="J65" i="10" s="1"/>
  <c r="E65" i="10"/>
  <c r="F65" i="10" s="1"/>
  <c r="G64" i="10"/>
  <c r="J64" i="10" s="1"/>
  <c r="E64" i="10"/>
  <c r="F64" i="10" s="1"/>
  <c r="G63" i="10"/>
  <c r="J63" i="10" s="1"/>
  <c r="E63" i="10"/>
  <c r="F63" i="10" s="1"/>
  <c r="M63" i="10"/>
  <c r="G62" i="10"/>
  <c r="J62" i="10" s="1"/>
  <c r="E62" i="10"/>
  <c r="F62" i="10" s="1"/>
  <c r="N62" i="10" l="1"/>
  <c r="L64" i="10"/>
  <c r="M64" i="10" s="1"/>
  <c r="N63" i="10"/>
  <c r="N64" i="10"/>
  <c r="B37" i="10"/>
  <c r="N79" i="10"/>
  <c r="N80" i="10"/>
  <c r="N81" i="10"/>
  <c r="N82" i="10"/>
  <c r="N83" i="10"/>
  <c r="N84" i="10"/>
  <c r="N85" i="10"/>
  <c r="N86" i="10"/>
  <c r="N87" i="10"/>
  <c r="N88" i="10"/>
  <c r="N89" i="10"/>
  <c r="N90" i="10"/>
  <c r="N91" i="10"/>
  <c r="N92" i="10"/>
  <c r="N93" i="10"/>
  <c r="N94" i="10"/>
  <c r="E15" i="6"/>
  <c r="G39" i="9"/>
  <c r="K14" i="6"/>
  <c r="C9" i="7"/>
  <c r="D39" i="9"/>
  <c r="D5" i="8"/>
  <c r="D40" i="9"/>
  <c r="D6" i="8"/>
  <c r="D41" i="9"/>
  <c r="D7" i="8"/>
  <c r="D42" i="9"/>
  <c r="D8" i="8"/>
  <c r="D43" i="9"/>
  <c r="D9" i="8"/>
  <c r="D44" i="9"/>
  <c r="D10" i="8"/>
  <c r="D45" i="9"/>
  <c r="D11" i="8"/>
  <c r="D46" i="9"/>
  <c r="D12" i="8"/>
  <c r="D47" i="9"/>
  <c r="D13" i="8"/>
  <c r="D48" i="9"/>
  <c r="D14" i="8"/>
  <c r="D49" i="9"/>
  <c r="D15" i="8"/>
  <c r="D50" i="9"/>
  <c r="D16" i="8"/>
  <c r="D51" i="9"/>
  <c r="D17" i="8"/>
  <c r="D52" i="9"/>
  <c r="D18" i="8"/>
  <c r="D53" i="9"/>
  <c r="D19" i="8"/>
  <c r="D54" i="9"/>
  <c r="D20" i="8"/>
  <c r="D55" i="9"/>
  <c r="D21" i="8"/>
  <c r="D56" i="9"/>
  <c r="D22" i="8"/>
  <c r="D57" i="9"/>
  <c r="D23" i="8"/>
  <c r="D58" i="9"/>
  <c r="D24" i="8"/>
  <c r="D59" i="9"/>
  <c r="D25" i="8"/>
  <c r="D60" i="9"/>
  <c r="D26" i="8"/>
  <c r="D61" i="9"/>
  <c r="D27" i="8"/>
  <c r="D62" i="9"/>
  <c r="D28" i="8"/>
  <c r="D63" i="9"/>
  <c r="D29" i="8"/>
  <c r="D64" i="9"/>
  <c r="D30" i="8"/>
  <c r="D65" i="9"/>
  <c r="D31" i="8"/>
  <c r="D66" i="9"/>
  <c r="D32" i="8"/>
  <c r="D67" i="9"/>
  <c r="D33" i="8"/>
  <c r="D68" i="9"/>
  <c r="D34" i="8"/>
  <c r="D69" i="9"/>
  <c r="D35" i="8"/>
  <c r="D70" i="9"/>
  <c r="D36" i="8"/>
  <c r="D71" i="9"/>
  <c r="D37" i="8"/>
  <c r="E71" i="9" l="1"/>
  <c r="B37" i="7"/>
  <c r="E70" i="9"/>
  <c r="B36" i="7"/>
  <c r="E69" i="9"/>
  <c r="B35" i="7"/>
  <c r="E68" i="9"/>
  <c r="B34" i="7"/>
  <c r="E67" i="9"/>
  <c r="B33" i="7"/>
  <c r="E66" i="9"/>
  <c r="B32" i="7"/>
  <c r="E65" i="9"/>
  <c r="B31" i="7"/>
  <c r="E64" i="9"/>
  <c r="B30" i="7"/>
  <c r="E63" i="9"/>
  <c r="B29" i="7"/>
  <c r="E62" i="9"/>
  <c r="B28" i="7"/>
  <c r="E61" i="9"/>
  <c r="B27" i="7"/>
  <c r="E60" i="9"/>
  <c r="B26" i="7"/>
  <c r="E59" i="9"/>
  <c r="B25" i="7"/>
  <c r="E58" i="9"/>
  <c r="B24" i="7"/>
  <c r="E57" i="9"/>
  <c r="B23" i="7"/>
  <c r="E56" i="9"/>
  <c r="B22" i="7"/>
  <c r="E55" i="9"/>
  <c r="B21" i="7"/>
  <c r="E54" i="9"/>
  <c r="B20" i="7"/>
  <c r="E53" i="9"/>
  <c r="B19" i="7"/>
  <c r="E52" i="9"/>
  <c r="B18" i="7"/>
  <c r="E51" i="9"/>
  <c r="B17" i="7"/>
  <c r="E50" i="9"/>
  <c r="B16" i="7"/>
  <c r="E49" i="9"/>
  <c r="B15" i="7"/>
  <c r="E48" i="9"/>
  <c r="B14" i="7"/>
  <c r="E47" i="9"/>
  <c r="B13" i="7"/>
  <c r="E46" i="9"/>
  <c r="B12" i="7"/>
  <c r="E45" i="9"/>
  <c r="B11" i="7"/>
  <c r="E44" i="9"/>
  <c r="B10" i="7"/>
  <c r="E43" i="9"/>
  <c r="B9" i="7"/>
  <c r="D9" i="7" s="1"/>
  <c r="E42" i="9"/>
  <c r="B8" i="7"/>
  <c r="D8" i="7" s="1"/>
  <c r="E41" i="9"/>
  <c r="B7" i="7"/>
  <c r="D7" i="7" s="1"/>
  <c r="E40" i="9"/>
  <c r="B6" i="7"/>
  <c r="D6" i="7" s="1"/>
  <c r="E39" i="9"/>
  <c r="B5" i="7"/>
  <c r="C10" i="7"/>
  <c r="E6" i="7"/>
  <c r="L6" i="7" s="1"/>
  <c r="G15" i="6"/>
  <c r="L65" i="10"/>
  <c r="P62" i="10"/>
  <c r="Q62" i="10" s="1"/>
  <c r="R62" i="10" s="1"/>
  <c r="O62" i="10"/>
  <c r="O63" i="10" l="1"/>
  <c r="P63" i="10"/>
  <c r="Q63" i="10" s="1"/>
  <c r="R63" i="10" s="1"/>
  <c r="U62" i="10"/>
  <c r="U63" i="10" s="1"/>
  <c r="T62" i="10"/>
  <c r="T63" i="10" s="1"/>
  <c r="N65" i="10"/>
  <c r="M65" i="10"/>
  <c r="G6" i="8"/>
  <c r="F40" i="9" s="1"/>
  <c r="I15" i="6"/>
  <c r="C11" i="7"/>
  <c r="D5" i="7"/>
  <c r="L5" i="7"/>
  <c r="F6" i="7"/>
  <c r="M6" i="7" s="1"/>
  <c r="D10" i="7"/>
  <c r="D11" i="7"/>
  <c r="P5" i="7" l="1"/>
  <c r="N6" i="7" s="1"/>
  <c r="O5" i="7"/>
  <c r="Q5" i="7" s="1"/>
  <c r="M5" i="8" s="1"/>
  <c r="F5" i="7"/>
  <c r="M5" i="7" s="1"/>
  <c r="C12" i="7"/>
  <c r="G40" i="9"/>
  <c r="K15" i="6"/>
  <c r="L66" i="10"/>
  <c r="O64" i="10"/>
  <c r="P64" i="10"/>
  <c r="Q64" i="10" s="1"/>
  <c r="R64" i="10" s="1"/>
  <c r="T64" i="10" l="1"/>
  <c r="U64" i="10"/>
  <c r="O65" i="10"/>
  <c r="P65" i="10"/>
  <c r="Q65" i="10" s="1"/>
  <c r="R65" i="10" s="1"/>
  <c r="N66" i="10"/>
  <c r="P66" i="10" s="1"/>
  <c r="Q66" i="10" s="1"/>
  <c r="R66" i="10" s="1"/>
  <c r="M66" i="10"/>
  <c r="D12" i="7"/>
  <c r="C13" i="7"/>
  <c r="I5" i="7"/>
  <c r="G6" i="7" s="1"/>
  <c r="H5" i="7"/>
  <c r="K5" i="7" s="1"/>
  <c r="H5" i="8" s="1"/>
  <c r="N5" i="8"/>
  <c r="N14" i="6" s="1"/>
  <c r="I5" i="8"/>
  <c r="P6" i="7"/>
  <c r="N7" i="7" s="1"/>
  <c r="O6" i="7"/>
  <c r="Q6" i="7" s="1"/>
  <c r="M6" i="8" s="1"/>
  <c r="N6" i="8" l="1"/>
  <c r="N15" i="6" s="1"/>
  <c r="I6" i="8"/>
  <c r="P7" i="7"/>
  <c r="N8" i="7" s="1"/>
  <c r="O7" i="7"/>
  <c r="Q7" i="7" s="1"/>
  <c r="M7" i="8" s="1"/>
  <c r="B39" i="9"/>
  <c r="J5" i="8"/>
  <c r="F5" i="8"/>
  <c r="B14" i="6" s="1"/>
  <c r="I6" i="7"/>
  <c r="G7" i="7" s="1"/>
  <c r="H6" i="7"/>
  <c r="K6" i="7" s="1"/>
  <c r="H6" i="8" s="1"/>
  <c r="D13" i="7"/>
  <c r="C14" i="7"/>
  <c r="L67" i="10"/>
  <c r="O66" i="10"/>
  <c r="U65" i="10"/>
  <c r="U66" i="10" s="1"/>
  <c r="T65" i="10"/>
  <c r="T66" i="10" s="1"/>
  <c r="N67" i="10" l="1"/>
  <c r="M67" i="10"/>
  <c r="D14" i="7"/>
  <c r="C15" i="7"/>
  <c r="F6" i="8"/>
  <c r="B15" i="6" s="1"/>
  <c r="C39" i="9"/>
  <c r="K5" i="8"/>
  <c r="N7" i="8"/>
  <c r="N16" i="6" s="1"/>
  <c r="I7" i="8"/>
  <c r="P8" i="7"/>
  <c r="N9" i="7" s="1"/>
  <c r="O8" i="7"/>
  <c r="Q8" i="7" s="1"/>
  <c r="M8" i="8" s="1"/>
  <c r="B40" i="9"/>
  <c r="N8" i="8" l="1"/>
  <c r="N17" i="6" s="1"/>
  <c r="I8" i="8"/>
  <c r="P9" i="7"/>
  <c r="N10" i="7" s="1"/>
  <c r="O9" i="7"/>
  <c r="Q9" i="7" s="1"/>
  <c r="M9" i="8" s="1"/>
  <c r="B41" i="9"/>
  <c r="D15" i="7"/>
  <c r="C16" i="7"/>
  <c r="L68" i="10"/>
  <c r="P67" i="10"/>
  <c r="Q67" i="10" s="1"/>
  <c r="R67" i="10" s="1"/>
  <c r="O67" i="10"/>
  <c r="T67" i="10" l="1"/>
  <c r="U67" i="10"/>
  <c r="N68" i="10"/>
  <c r="M68" i="10"/>
  <c r="D16" i="7"/>
  <c r="C17" i="7"/>
  <c r="N9" i="8"/>
  <c r="N18" i="6" s="1"/>
  <c r="I9" i="8"/>
  <c r="P10" i="7"/>
  <c r="N11" i="7" s="1"/>
  <c r="O10" i="7"/>
  <c r="Q10" i="7" s="1"/>
  <c r="M10" i="8" s="1"/>
  <c r="B42" i="9"/>
  <c r="N10" i="8" l="1"/>
  <c r="N19" i="6" s="1"/>
  <c r="I10" i="8"/>
  <c r="P11" i="7"/>
  <c r="N12" i="7" s="1"/>
  <c r="O11" i="7"/>
  <c r="Q11" i="7" s="1"/>
  <c r="M11" i="8" s="1"/>
  <c r="B43" i="9"/>
  <c r="D17" i="7"/>
  <c r="C18" i="7"/>
  <c r="L69" i="10"/>
  <c r="P68" i="10"/>
  <c r="Q68" i="10" s="1"/>
  <c r="R68" i="10" s="1"/>
  <c r="O68" i="10"/>
  <c r="U68" i="10"/>
  <c r="T68" i="10"/>
  <c r="N69" i="10" l="1"/>
  <c r="M69" i="10"/>
  <c r="D18" i="7"/>
  <c r="C19" i="7"/>
  <c r="N11" i="8"/>
  <c r="N20" i="6" s="1"/>
  <c r="I11" i="8"/>
  <c r="P12" i="7"/>
  <c r="N13" i="7" s="1"/>
  <c r="O12" i="7"/>
  <c r="Q12" i="7" s="1"/>
  <c r="M12" i="8" s="1"/>
  <c r="B44" i="9"/>
  <c r="N12" i="8" l="1"/>
  <c r="N21" i="6" s="1"/>
  <c r="I12" i="8"/>
  <c r="P13" i="7"/>
  <c r="N14" i="7" s="1"/>
  <c r="O13" i="7"/>
  <c r="Q13" i="7" s="1"/>
  <c r="M13" i="8" s="1"/>
  <c r="B45" i="9"/>
  <c r="D19" i="7"/>
  <c r="C20" i="7"/>
  <c r="L70" i="10"/>
  <c r="P69" i="10"/>
  <c r="Q69" i="10" s="1"/>
  <c r="R69" i="10" s="1"/>
  <c r="O69" i="10"/>
  <c r="T69" i="10" l="1"/>
  <c r="U69" i="10"/>
  <c r="N70" i="10"/>
  <c r="M70" i="10"/>
  <c r="D20" i="7"/>
  <c r="C21" i="7"/>
  <c r="N13" i="8"/>
  <c r="N22" i="6" s="1"/>
  <c r="I13" i="8"/>
  <c r="P14" i="7"/>
  <c r="N15" i="7" s="1"/>
  <c r="O14" i="7"/>
  <c r="Q14" i="7" s="1"/>
  <c r="M14" i="8" s="1"/>
  <c r="B46" i="9"/>
  <c r="N14" i="8" l="1"/>
  <c r="N23" i="6" s="1"/>
  <c r="I14" i="8"/>
  <c r="P15" i="7"/>
  <c r="N16" i="7" s="1"/>
  <c r="O15" i="7"/>
  <c r="Q15" i="7" s="1"/>
  <c r="M15" i="8" s="1"/>
  <c r="B47" i="9"/>
  <c r="D21" i="7"/>
  <c r="C22" i="7"/>
  <c r="L71" i="10"/>
  <c r="P70" i="10"/>
  <c r="Q70" i="10" s="1"/>
  <c r="R70" i="10" s="1"/>
  <c r="O70" i="10"/>
  <c r="U70" i="10"/>
  <c r="T70" i="10"/>
  <c r="N71" i="10" l="1"/>
  <c r="M71" i="10"/>
  <c r="D22" i="7"/>
  <c r="C23" i="7"/>
  <c r="N15" i="8"/>
  <c r="N24" i="6" s="1"/>
  <c r="I15" i="8"/>
  <c r="P16" i="7"/>
  <c r="N17" i="7" s="1"/>
  <c r="O16" i="7"/>
  <c r="Q16" i="7" s="1"/>
  <c r="M16" i="8" s="1"/>
  <c r="B48" i="9"/>
  <c r="N16" i="8" l="1"/>
  <c r="N25" i="6" s="1"/>
  <c r="I16" i="8"/>
  <c r="P17" i="7"/>
  <c r="N18" i="7" s="1"/>
  <c r="O17" i="7"/>
  <c r="Q17" i="7" s="1"/>
  <c r="M17" i="8" s="1"/>
  <c r="B49" i="9"/>
  <c r="D23" i="7"/>
  <c r="C24" i="7"/>
  <c r="L72" i="10"/>
  <c r="P71" i="10"/>
  <c r="Q71" i="10" s="1"/>
  <c r="R71" i="10" s="1"/>
  <c r="O71" i="10"/>
  <c r="T71" i="10" l="1"/>
  <c r="U71" i="10"/>
  <c r="N72" i="10"/>
  <c r="M72" i="10"/>
  <c r="D24" i="7"/>
  <c r="C25" i="7"/>
  <c r="N17" i="8"/>
  <c r="N26" i="6" s="1"/>
  <c r="I17" i="8"/>
  <c r="P18" i="7"/>
  <c r="N19" i="7" s="1"/>
  <c r="O18" i="7"/>
  <c r="Q18" i="7" s="1"/>
  <c r="M18" i="8" s="1"/>
  <c r="B50" i="9"/>
  <c r="N18" i="8" l="1"/>
  <c r="N27" i="6" s="1"/>
  <c r="I18" i="8"/>
  <c r="P19" i="7"/>
  <c r="N20" i="7" s="1"/>
  <c r="O19" i="7"/>
  <c r="Q19" i="7" s="1"/>
  <c r="M19" i="8" s="1"/>
  <c r="B51" i="9"/>
  <c r="D25" i="7"/>
  <c r="C26" i="7"/>
  <c r="L73" i="10"/>
  <c r="P72" i="10"/>
  <c r="Q72" i="10" s="1"/>
  <c r="R72" i="10" s="1"/>
  <c r="O72" i="10"/>
  <c r="U72" i="10"/>
  <c r="T72" i="10"/>
  <c r="N73" i="10" l="1"/>
  <c r="M73" i="10"/>
  <c r="D26" i="7"/>
  <c r="C27" i="7"/>
  <c r="N19" i="8"/>
  <c r="N28" i="6" s="1"/>
  <c r="I19" i="8"/>
  <c r="P20" i="7"/>
  <c r="N21" i="7" s="1"/>
  <c r="O20" i="7"/>
  <c r="Q20" i="7" s="1"/>
  <c r="M20" i="8" s="1"/>
  <c r="B52" i="9"/>
  <c r="N20" i="8" l="1"/>
  <c r="N29" i="6" s="1"/>
  <c r="I20" i="8"/>
  <c r="P21" i="7"/>
  <c r="N22" i="7" s="1"/>
  <c r="O21" i="7"/>
  <c r="Q21" i="7" s="1"/>
  <c r="M21" i="8" s="1"/>
  <c r="B53" i="9"/>
  <c r="D27" i="7"/>
  <c r="C28" i="7"/>
  <c r="L74" i="10"/>
  <c r="P73" i="10"/>
  <c r="Q73" i="10" s="1"/>
  <c r="R73" i="10" s="1"/>
  <c r="O73" i="10"/>
  <c r="T73" i="10" l="1"/>
  <c r="U73" i="10"/>
  <c r="N74" i="10"/>
  <c r="M74" i="10"/>
  <c r="D28" i="7"/>
  <c r="C29" i="7"/>
  <c r="N21" i="8"/>
  <c r="N30" i="6" s="1"/>
  <c r="I21" i="8"/>
  <c r="P22" i="7"/>
  <c r="N23" i="7" s="1"/>
  <c r="O22" i="7"/>
  <c r="Q22" i="7" s="1"/>
  <c r="M22" i="8" s="1"/>
  <c r="B54" i="9"/>
  <c r="N22" i="8" l="1"/>
  <c r="N31" i="6" s="1"/>
  <c r="I22" i="8"/>
  <c r="P23" i="7"/>
  <c r="N24" i="7" s="1"/>
  <c r="O23" i="7"/>
  <c r="Q23" i="7" s="1"/>
  <c r="M23" i="8" s="1"/>
  <c r="B55" i="9"/>
  <c r="D29" i="7"/>
  <c r="C30" i="7"/>
  <c r="L75" i="10"/>
  <c r="P74" i="10"/>
  <c r="Q74" i="10" s="1"/>
  <c r="R74" i="10" s="1"/>
  <c r="O74" i="10"/>
  <c r="U74" i="10"/>
  <c r="T74" i="10"/>
  <c r="N75" i="10" l="1"/>
  <c r="M75" i="10"/>
  <c r="D30" i="7"/>
  <c r="C31" i="7"/>
  <c r="N23" i="8"/>
  <c r="N32" i="6" s="1"/>
  <c r="I23" i="8"/>
  <c r="P24" i="7"/>
  <c r="N25" i="7" s="1"/>
  <c r="O24" i="7"/>
  <c r="Q24" i="7" s="1"/>
  <c r="M24" i="8" s="1"/>
  <c r="B56" i="9"/>
  <c r="N24" i="8" l="1"/>
  <c r="N33" i="6" s="1"/>
  <c r="I24" i="8"/>
  <c r="P25" i="7"/>
  <c r="N26" i="7" s="1"/>
  <c r="O25" i="7"/>
  <c r="Q25" i="7" s="1"/>
  <c r="M25" i="8" s="1"/>
  <c r="B57" i="9"/>
  <c r="D31" i="7"/>
  <c r="C32" i="7"/>
  <c r="L76" i="10"/>
  <c r="P75" i="10"/>
  <c r="Q75" i="10" s="1"/>
  <c r="R75" i="10" s="1"/>
  <c r="O75" i="10"/>
  <c r="T75" i="10" l="1"/>
  <c r="U75" i="10"/>
  <c r="N76" i="10"/>
  <c r="M76" i="10"/>
  <c r="D32" i="7"/>
  <c r="C33" i="7"/>
  <c r="N25" i="8"/>
  <c r="N34" i="6" s="1"/>
  <c r="I25" i="8"/>
  <c r="P26" i="7"/>
  <c r="N27" i="7" s="1"/>
  <c r="O26" i="7"/>
  <c r="Q26" i="7" s="1"/>
  <c r="M26" i="8" s="1"/>
  <c r="B58" i="9"/>
  <c r="N26" i="8" l="1"/>
  <c r="N35" i="6" s="1"/>
  <c r="I26" i="8"/>
  <c r="P27" i="7"/>
  <c r="N28" i="7" s="1"/>
  <c r="O27" i="7"/>
  <c r="Q27" i="7" s="1"/>
  <c r="M27" i="8" s="1"/>
  <c r="B59" i="9"/>
  <c r="D33" i="7"/>
  <c r="C34" i="7"/>
  <c r="L77" i="10"/>
  <c r="P76" i="10"/>
  <c r="Q76" i="10" s="1"/>
  <c r="R76" i="10" s="1"/>
  <c r="O76" i="10"/>
  <c r="U76" i="10"/>
  <c r="T76" i="10"/>
  <c r="N77" i="10" l="1"/>
  <c r="M77" i="10"/>
  <c r="D34" i="7"/>
  <c r="C35" i="7"/>
  <c r="N27" i="8"/>
  <c r="N36" i="6" s="1"/>
  <c r="I27" i="8"/>
  <c r="P28" i="7"/>
  <c r="N29" i="7" s="1"/>
  <c r="O28" i="7"/>
  <c r="Q28" i="7" s="1"/>
  <c r="M28" i="8" s="1"/>
  <c r="B60" i="9"/>
  <c r="N28" i="8" l="1"/>
  <c r="N37" i="6" s="1"/>
  <c r="I28" i="8"/>
  <c r="P29" i="7"/>
  <c r="N30" i="7" s="1"/>
  <c r="O29" i="7"/>
  <c r="Q29" i="7" s="1"/>
  <c r="M29" i="8" s="1"/>
  <c r="B61" i="9"/>
  <c r="D35" i="7"/>
  <c r="C36" i="7"/>
  <c r="L78" i="10"/>
  <c r="P77" i="10"/>
  <c r="Q77" i="10" s="1"/>
  <c r="R77" i="10" s="1"/>
  <c r="O77" i="10"/>
  <c r="T77" i="10" l="1"/>
  <c r="U77" i="10"/>
  <c r="N78" i="10"/>
  <c r="M78" i="10"/>
  <c r="M79" i="10" s="1"/>
  <c r="M80" i="10" s="1"/>
  <c r="M81" i="10" s="1"/>
  <c r="M82" i="10" s="1"/>
  <c r="M83" i="10" s="1"/>
  <c r="M84" i="10" s="1"/>
  <c r="M85" i="10" s="1"/>
  <c r="M86" i="10" s="1"/>
  <c r="M87" i="10" s="1"/>
  <c r="M88" i="10" s="1"/>
  <c r="M89" i="10" s="1"/>
  <c r="M90" i="10" s="1"/>
  <c r="M91" i="10" s="1"/>
  <c r="M92" i="10" s="1"/>
  <c r="M93" i="10" s="1"/>
  <c r="M94" i="10" s="1"/>
  <c r="D36" i="7"/>
  <c r="C37" i="7"/>
  <c r="D37" i="7" s="1"/>
  <c r="N29" i="8"/>
  <c r="N38" i="6" s="1"/>
  <c r="I29" i="8"/>
  <c r="P30" i="7"/>
  <c r="N31" i="7" s="1"/>
  <c r="O30" i="7"/>
  <c r="Q30" i="7" s="1"/>
  <c r="M30" i="8" s="1"/>
  <c r="B62" i="9"/>
  <c r="N30" i="8" l="1"/>
  <c r="N39" i="6" s="1"/>
  <c r="I30" i="8"/>
  <c r="P31" i="7"/>
  <c r="N32" i="7" s="1"/>
  <c r="O31" i="7"/>
  <c r="Q31" i="7" s="1"/>
  <c r="M31" i="8" s="1"/>
  <c r="B63" i="9"/>
  <c r="P78" i="10"/>
  <c r="Q78" i="10" s="1"/>
  <c r="R78" i="10" s="1"/>
  <c r="O78" i="10"/>
  <c r="U78" i="10"/>
  <c r="T78" i="10"/>
  <c r="O79" i="10" l="1"/>
  <c r="P79" i="10"/>
  <c r="Q79" i="10" s="1"/>
  <c r="R79" i="10" s="1"/>
  <c r="N31" i="8"/>
  <c r="N40" i="6" s="1"/>
  <c r="I31" i="8"/>
  <c r="P32" i="7"/>
  <c r="N33" i="7" s="1"/>
  <c r="O32" i="7"/>
  <c r="Q32" i="7" s="1"/>
  <c r="M32" i="8" s="1"/>
  <c r="B64" i="9"/>
  <c r="N32" i="8" l="1"/>
  <c r="N41" i="6" s="1"/>
  <c r="I32" i="8"/>
  <c r="P33" i="7"/>
  <c r="N34" i="7" s="1"/>
  <c r="O33" i="7"/>
  <c r="Q33" i="7" s="1"/>
  <c r="M33" i="8" s="1"/>
  <c r="B65" i="9"/>
  <c r="T79" i="10"/>
  <c r="U79" i="10"/>
  <c r="O80" i="10"/>
  <c r="P80" i="10"/>
  <c r="Q80" i="10" s="1"/>
  <c r="R80" i="10" s="1"/>
  <c r="O81" i="10" l="1"/>
  <c r="P81" i="10"/>
  <c r="Q81" i="10" s="1"/>
  <c r="R81" i="10" s="1"/>
  <c r="U80" i="10"/>
  <c r="U81" i="10" s="1"/>
  <c r="T80" i="10"/>
  <c r="T81" i="10" s="1"/>
  <c r="N33" i="8"/>
  <c r="N42" i="6" s="1"/>
  <c r="I33" i="8"/>
  <c r="P34" i="7"/>
  <c r="N35" i="7" s="1"/>
  <c r="O34" i="7"/>
  <c r="Q34" i="7" s="1"/>
  <c r="M34" i="8" s="1"/>
  <c r="B66" i="9"/>
  <c r="N34" i="8" l="1"/>
  <c r="N43" i="6" s="1"/>
  <c r="I34" i="8"/>
  <c r="P35" i="7"/>
  <c r="N36" i="7" s="1"/>
  <c r="O35" i="7"/>
  <c r="Q35" i="7" s="1"/>
  <c r="M35" i="8" s="1"/>
  <c r="B67" i="9"/>
  <c r="O82" i="10"/>
  <c r="P82" i="10"/>
  <c r="Q82" i="10" s="1"/>
  <c r="R82" i="10" s="1"/>
  <c r="T82" i="10" l="1"/>
  <c r="U82" i="10"/>
  <c r="O83" i="10"/>
  <c r="P83" i="10"/>
  <c r="Q83" i="10" s="1"/>
  <c r="R83" i="10" s="1"/>
  <c r="N35" i="8"/>
  <c r="N44" i="6" s="1"/>
  <c r="I35" i="8"/>
  <c r="P36" i="7"/>
  <c r="N37" i="7" s="1"/>
  <c r="O36" i="7"/>
  <c r="Q36" i="7" s="1"/>
  <c r="M36" i="8" s="1"/>
  <c r="B68" i="9"/>
  <c r="N36" i="8" l="1"/>
  <c r="N45" i="6" s="1"/>
  <c r="I36" i="8"/>
  <c r="P37" i="7"/>
  <c r="O37" i="7"/>
  <c r="Q37" i="7" s="1"/>
  <c r="M37" i="8" s="1"/>
  <c r="B69" i="9"/>
  <c r="O84" i="10"/>
  <c r="P84" i="10"/>
  <c r="Q84" i="10" s="1"/>
  <c r="R84" i="10" s="1"/>
  <c r="U83" i="10"/>
  <c r="U84" i="10" s="1"/>
  <c r="T83" i="10"/>
  <c r="T84" i="10" s="1"/>
  <c r="O85" i="10" l="1"/>
  <c r="P85" i="10"/>
  <c r="Q85" i="10" s="1"/>
  <c r="R85" i="10" s="1"/>
  <c r="N37" i="8"/>
  <c r="N46" i="6" s="1"/>
  <c r="I37" i="8"/>
  <c r="B70" i="9"/>
  <c r="I6" i="9"/>
  <c r="B25" i="11" s="1"/>
  <c r="C25" i="11" s="1"/>
  <c r="B71" i="9" l="1"/>
  <c r="A6" i="9"/>
  <c r="B34" i="9" s="1"/>
  <c r="T85" i="10"/>
  <c r="U85" i="10"/>
  <c r="O86" i="10"/>
  <c r="P86" i="10"/>
  <c r="Q86" i="10" s="1"/>
  <c r="R86" i="10" s="1"/>
  <c r="O87" i="10" l="1"/>
  <c r="P87" i="10"/>
  <c r="Q87" i="10" s="1"/>
  <c r="R87" i="10" s="1"/>
  <c r="U86" i="10"/>
  <c r="U87" i="10" s="1"/>
  <c r="T86" i="10"/>
  <c r="T87" i="10" s="1"/>
  <c r="O88" i="10" l="1"/>
  <c r="P88" i="10"/>
  <c r="Q88" i="10" s="1"/>
  <c r="R88" i="10" s="1"/>
  <c r="T88" i="10" l="1"/>
  <c r="U88" i="10"/>
  <c r="O89" i="10"/>
  <c r="P89" i="10"/>
  <c r="Q89" i="10" s="1"/>
  <c r="R89" i="10" s="1"/>
  <c r="O90" i="10" l="1"/>
  <c r="P90" i="10"/>
  <c r="Q90" i="10" s="1"/>
  <c r="R90" i="10" s="1"/>
  <c r="U89" i="10"/>
  <c r="U90" i="10" s="1"/>
  <c r="T89" i="10"/>
  <c r="T90" i="10" s="1"/>
  <c r="O91" i="10" l="1"/>
  <c r="P91" i="10"/>
  <c r="Q91" i="10" s="1"/>
  <c r="R91" i="10" s="1"/>
  <c r="T91" i="10" l="1"/>
  <c r="U91" i="10"/>
  <c r="O92" i="10"/>
  <c r="P92" i="10"/>
  <c r="Q92" i="10" s="1"/>
  <c r="R92" i="10" s="1"/>
  <c r="O93" i="10" l="1"/>
  <c r="P93" i="10"/>
  <c r="Q93" i="10" s="1"/>
  <c r="R93" i="10" s="1"/>
  <c r="U92" i="10"/>
  <c r="U93" i="10" s="1"/>
  <c r="T92" i="10"/>
  <c r="T93" i="10" s="1"/>
  <c r="O94" i="10" l="1"/>
  <c r="P94" i="10"/>
  <c r="Q94" i="10" s="1"/>
  <c r="R94" i="10" s="1"/>
  <c r="T94" i="10" l="1"/>
  <c r="U94" i="10"/>
  <c r="B34" i="10"/>
  <c r="B35" i="10" s="1"/>
  <c r="B38" i="10"/>
  <c r="B36" i="10"/>
  <c r="B33" i="10"/>
  <c r="B27" i="11"/>
  <c r="C27" i="11"/>
  <c r="I10" i="9"/>
  <c r="B11" i="11"/>
  <c r="C11" i="11"/>
  <c r="E10" i="9"/>
  <c r="G6" i="6"/>
  <c r="G7" i="6"/>
  <c r="B8" i="6"/>
  <c r="D15" i="6"/>
  <c r="H15" i="6"/>
  <c r="C16" i="6"/>
  <c r="E16" i="6"/>
  <c r="F16" i="6"/>
  <c r="H16" i="6"/>
  <c r="C17" i="6"/>
  <c r="E17" i="6"/>
  <c r="F17" i="6"/>
  <c r="H17" i="6"/>
  <c r="C18" i="6"/>
  <c r="E18" i="6"/>
  <c r="F18" i="6"/>
  <c r="H18" i="6"/>
  <c r="C19" i="6"/>
  <c r="E19" i="6"/>
  <c r="F19" i="6"/>
  <c r="H19" i="6"/>
  <c r="C20" i="6"/>
  <c r="E20" i="6"/>
  <c r="F20" i="6"/>
  <c r="H20" i="6"/>
  <c r="C21" i="6"/>
  <c r="E21" i="6"/>
  <c r="F21" i="6"/>
  <c r="H21" i="6"/>
  <c r="C22" i="6"/>
  <c r="E22" i="6"/>
  <c r="F22" i="6"/>
  <c r="H22" i="6"/>
  <c r="C23" i="6"/>
  <c r="E23" i="6"/>
  <c r="F23" i="6"/>
  <c r="H23" i="6"/>
  <c r="C24" i="6"/>
  <c r="E24" i="6"/>
  <c r="F24" i="6"/>
  <c r="H24" i="6"/>
  <c r="C25" i="6"/>
  <c r="E25" i="6"/>
  <c r="F25" i="6"/>
  <c r="H25" i="6"/>
  <c r="C26" i="6"/>
  <c r="E26" i="6"/>
  <c r="F26" i="6"/>
  <c r="H26" i="6"/>
  <c r="C27" i="6"/>
  <c r="E27" i="6"/>
  <c r="F27" i="6"/>
  <c r="H27" i="6"/>
  <c r="C28" i="6"/>
  <c r="E28" i="6"/>
  <c r="F28" i="6"/>
  <c r="H28" i="6"/>
  <c r="C29" i="6"/>
  <c r="E29" i="6"/>
  <c r="F29" i="6"/>
  <c r="H29" i="6"/>
  <c r="C30" i="6"/>
  <c r="E30" i="6"/>
  <c r="F30" i="6"/>
  <c r="H30" i="6"/>
  <c r="C31" i="6"/>
  <c r="H31" i="6"/>
  <c r="C32" i="6"/>
  <c r="H32" i="6"/>
  <c r="C33" i="6"/>
  <c r="H33" i="6"/>
  <c r="C34" i="6"/>
  <c r="H34" i="6"/>
  <c r="C35" i="6"/>
  <c r="H35" i="6"/>
  <c r="C36" i="6"/>
  <c r="H36" i="6"/>
  <c r="C37" i="6"/>
  <c r="H37" i="6"/>
  <c r="C38" i="6"/>
  <c r="H38" i="6"/>
  <c r="C39" i="6"/>
  <c r="H39" i="6"/>
  <c r="C40" i="6"/>
  <c r="H40" i="6"/>
  <c r="C41" i="6"/>
  <c r="H41" i="6"/>
  <c r="C42" i="6"/>
  <c r="H42" i="6"/>
  <c r="C43" i="6"/>
  <c r="H43" i="6"/>
  <c r="C44" i="6"/>
  <c r="H44" i="6"/>
  <c r="C45" i="6"/>
  <c r="H45" i="6"/>
  <c r="C46" i="6"/>
  <c r="H46" i="6"/>
  <c r="B10" i="11"/>
  <c r="C10" i="11"/>
  <c r="B9" i="6"/>
  <c r="B14" i="11"/>
  <c r="C14" i="11"/>
  <c r="G16" i="6"/>
  <c r="E7" i="7"/>
  <c r="F7" i="7"/>
  <c r="L7" i="7"/>
  <c r="M7" i="7"/>
  <c r="H7" i="7"/>
  <c r="K7" i="7"/>
  <c r="H7" i="8"/>
  <c r="F7" i="8"/>
  <c r="B16" i="6"/>
  <c r="I16" i="6"/>
  <c r="G17" i="6"/>
  <c r="E8" i="7"/>
  <c r="F8" i="7"/>
  <c r="L8" i="7"/>
  <c r="M8" i="7"/>
  <c r="I7" i="7"/>
  <c r="G8" i="7"/>
  <c r="H8" i="7"/>
  <c r="K8" i="7"/>
  <c r="H8" i="8"/>
  <c r="F8" i="8"/>
  <c r="B17" i="6"/>
  <c r="I17" i="6"/>
  <c r="G18" i="6"/>
  <c r="E9" i="7"/>
  <c r="F9" i="7"/>
  <c r="L9" i="7"/>
  <c r="M9" i="7"/>
  <c r="I8" i="7"/>
  <c r="G9" i="7"/>
  <c r="H9" i="7"/>
  <c r="K9" i="7"/>
  <c r="H9" i="8"/>
  <c r="F9" i="8"/>
  <c r="B18" i="6"/>
  <c r="I18" i="6"/>
  <c r="G19" i="6"/>
  <c r="E10" i="7"/>
  <c r="F10" i="7"/>
  <c r="L10" i="7"/>
  <c r="M10" i="7"/>
  <c r="I9" i="7"/>
  <c r="G10" i="7"/>
  <c r="H10" i="7"/>
  <c r="K10" i="7"/>
  <c r="H10" i="8"/>
  <c r="F10" i="8"/>
  <c r="B19" i="6"/>
  <c r="I19" i="6"/>
  <c r="G20" i="6"/>
  <c r="E11" i="7"/>
  <c r="F11" i="7"/>
  <c r="L11" i="7"/>
  <c r="M11" i="7"/>
  <c r="I10" i="7"/>
  <c r="G11" i="7"/>
  <c r="H11" i="7"/>
  <c r="K11" i="7"/>
  <c r="H11" i="8"/>
  <c r="F11" i="8"/>
  <c r="B20" i="6"/>
  <c r="I20" i="6"/>
  <c r="G21" i="6"/>
  <c r="E12" i="7"/>
  <c r="F12" i="7"/>
  <c r="L12" i="7"/>
  <c r="M12" i="7"/>
  <c r="I11" i="7"/>
  <c r="G12" i="7"/>
  <c r="H12" i="7"/>
  <c r="K12" i="7"/>
  <c r="H12" i="8"/>
  <c r="F12" i="8"/>
  <c r="B21" i="6"/>
  <c r="I21" i="6"/>
  <c r="G22" i="6"/>
  <c r="E13" i="7"/>
  <c r="F13" i="7"/>
  <c r="L13" i="7"/>
  <c r="M13" i="7"/>
  <c r="I12" i="7"/>
  <c r="G13" i="7"/>
  <c r="H13" i="7"/>
  <c r="K13" i="7"/>
  <c r="H13" i="8"/>
  <c r="F13" i="8"/>
  <c r="B22" i="6"/>
  <c r="I22" i="6"/>
  <c r="G23" i="6"/>
  <c r="E14" i="7"/>
  <c r="F14" i="7"/>
  <c r="L14" i="7"/>
  <c r="M14" i="7"/>
  <c r="I13" i="7"/>
  <c r="G14" i="7"/>
  <c r="H14" i="7"/>
  <c r="K14" i="7"/>
  <c r="H14" i="8"/>
  <c r="F14" i="8"/>
  <c r="B23" i="6"/>
  <c r="I23" i="6"/>
  <c r="G24" i="6"/>
  <c r="E15" i="7"/>
  <c r="F15" i="7"/>
  <c r="L15" i="7"/>
  <c r="M15" i="7"/>
  <c r="I14" i="7"/>
  <c r="G15" i="7"/>
  <c r="H15" i="7"/>
  <c r="K15" i="7"/>
  <c r="H15" i="8"/>
  <c r="F15" i="8"/>
  <c r="B24" i="6"/>
  <c r="I24" i="6"/>
  <c r="G25" i="6"/>
  <c r="E16" i="7"/>
  <c r="F16" i="7"/>
  <c r="L16" i="7"/>
  <c r="M16" i="7"/>
  <c r="I15" i="7"/>
  <c r="G16" i="7"/>
  <c r="H16" i="7"/>
  <c r="K16" i="7"/>
  <c r="H16" i="8"/>
  <c r="F16" i="8"/>
  <c r="B25" i="6"/>
  <c r="I25" i="6"/>
  <c r="G26" i="6"/>
  <c r="E17" i="7"/>
  <c r="F17" i="7"/>
  <c r="L17" i="7"/>
  <c r="M17" i="7"/>
  <c r="I16" i="7"/>
  <c r="G17" i="7"/>
  <c r="H17" i="7"/>
  <c r="K17" i="7"/>
  <c r="H17" i="8"/>
  <c r="F17" i="8"/>
  <c r="B26" i="6"/>
  <c r="I26" i="6"/>
  <c r="G27" i="6"/>
  <c r="E18" i="7"/>
  <c r="F18" i="7"/>
  <c r="L18" i="7"/>
  <c r="M18" i="7"/>
  <c r="I17" i="7"/>
  <c r="G18" i="7"/>
  <c r="H18" i="7"/>
  <c r="K18" i="7"/>
  <c r="H18" i="8"/>
  <c r="F18" i="8"/>
  <c r="B27" i="6"/>
  <c r="I27" i="6"/>
  <c r="G28" i="6"/>
  <c r="E19" i="7"/>
  <c r="F19" i="7"/>
  <c r="L19" i="7"/>
  <c r="M19" i="7"/>
  <c r="I18" i="7"/>
  <c r="G19" i="7"/>
  <c r="H19" i="7"/>
  <c r="K19" i="7"/>
  <c r="H19" i="8"/>
  <c r="F19" i="8"/>
  <c r="B28" i="6"/>
  <c r="I28" i="6"/>
  <c r="G29" i="6"/>
  <c r="E20" i="7"/>
  <c r="F20" i="7"/>
  <c r="L20" i="7"/>
  <c r="M20" i="7"/>
  <c r="I19" i="7"/>
  <c r="G20" i="7"/>
  <c r="H20" i="7"/>
  <c r="K20" i="7"/>
  <c r="H20" i="8"/>
  <c r="F20" i="8"/>
  <c r="B29" i="6"/>
  <c r="I29" i="6"/>
  <c r="G30" i="6"/>
  <c r="E21" i="7"/>
  <c r="F21" i="7"/>
  <c r="L21" i="7"/>
  <c r="M21" i="7"/>
  <c r="I20" i="7"/>
  <c r="G21" i="7"/>
  <c r="H21" i="7"/>
  <c r="K21" i="7"/>
  <c r="H21" i="8"/>
  <c r="F21" i="8"/>
  <c r="B30" i="6"/>
  <c r="I30" i="6"/>
  <c r="E31" i="6"/>
  <c r="G31" i="6"/>
  <c r="I31" i="6"/>
  <c r="E32" i="6"/>
  <c r="G32" i="6"/>
  <c r="I32" i="6"/>
  <c r="E33" i="6"/>
  <c r="G33" i="6"/>
  <c r="I33" i="6"/>
  <c r="E34" i="6"/>
  <c r="G34" i="6"/>
  <c r="I34" i="6"/>
  <c r="E35" i="6"/>
  <c r="G35" i="6"/>
  <c r="I35" i="6"/>
  <c r="E36" i="6"/>
  <c r="G36" i="6"/>
  <c r="I36" i="6"/>
  <c r="E37" i="6"/>
  <c r="G37" i="6"/>
  <c r="I37" i="6"/>
  <c r="E38" i="6"/>
  <c r="G38" i="6"/>
  <c r="I38" i="6"/>
  <c r="E39" i="6"/>
  <c r="G39" i="6"/>
  <c r="I39" i="6"/>
  <c r="E40" i="6"/>
  <c r="G40" i="6"/>
  <c r="I40" i="6"/>
  <c r="E41" i="6"/>
  <c r="G41" i="6"/>
  <c r="I41" i="6"/>
  <c r="E42" i="6"/>
  <c r="G42" i="6"/>
  <c r="I42" i="6"/>
  <c r="E43" i="6"/>
  <c r="G43" i="6"/>
  <c r="I43" i="6"/>
  <c r="E44" i="6"/>
  <c r="G44" i="6"/>
  <c r="I44" i="6"/>
  <c r="E45" i="6"/>
  <c r="G45" i="6"/>
  <c r="I45" i="6"/>
  <c r="E46" i="6"/>
  <c r="G46" i="6"/>
  <c r="I46" i="6"/>
  <c r="B15" i="11"/>
  <c r="C15" i="11"/>
  <c r="B16" i="11"/>
  <c r="C16" i="11"/>
  <c r="I21" i="7"/>
  <c r="G22" i="7"/>
  <c r="E22" i="7"/>
  <c r="F22" i="7"/>
  <c r="L22" i="7"/>
  <c r="M22" i="7"/>
  <c r="I22" i="7"/>
  <c r="G23" i="7"/>
  <c r="E23" i="7"/>
  <c r="F23" i="7"/>
  <c r="L23" i="7"/>
  <c r="M23" i="7"/>
  <c r="I23" i="7"/>
  <c r="G24" i="7"/>
  <c r="E24" i="7"/>
  <c r="F24" i="7"/>
  <c r="L24" i="7"/>
  <c r="M24" i="7"/>
  <c r="I24" i="7"/>
  <c r="G25" i="7"/>
  <c r="E25" i="7"/>
  <c r="F25" i="7"/>
  <c r="L25" i="7"/>
  <c r="M25" i="7"/>
  <c r="I25" i="7"/>
  <c r="G26" i="7"/>
  <c r="E26" i="7"/>
  <c r="F26" i="7"/>
  <c r="L26" i="7"/>
  <c r="M26" i="7"/>
  <c r="I26" i="7"/>
  <c r="G27" i="7"/>
  <c r="E27" i="7"/>
  <c r="F27" i="7"/>
  <c r="L27" i="7"/>
  <c r="M27" i="7"/>
  <c r="I27" i="7"/>
  <c r="G28" i="7"/>
  <c r="E28" i="7"/>
  <c r="F28" i="7"/>
  <c r="L28" i="7"/>
  <c r="M28" i="7"/>
  <c r="I28" i="7"/>
  <c r="G29" i="7"/>
  <c r="E29" i="7"/>
  <c r="F29" i="7"/>
  <c r="L29" i="7"/>
  <c r="M29" i="7"/>
  <c r="I29" i="7"/>
  <c r="G30" i="7"/>
  <c r="E30" i="7"/>
  <c r="F30" i="7"/>
  <c r="L30" i="7"/>
  <c r="M30" i="7"/>
  <c r="I30" i="7"/>
  <c r="G31" i="7"/>
  <c r="E31" i="7"/>
  <c r="F31" i="7"/>
  <c r="L31" i="7"/>
  <c r="M31" i="7"/>
  <c r="I31" i="7"/>
  <c r="G32" i="7"/>
  <c r="E32" i="7"/>
  <c r="F32" i="7"/>
  <c r="L32" i="7"/>
  <c r="M32" i="7"/>
  <c r="I32" i="7"/>
  <c r="G33" i="7"/>
  <c r="E33" i="7"/>
  <c r="F33" i="7"/>
  <c r="L33" i="7"/>
  <c r="M33" i="7"/>
  <c r="I33" i="7"/>
  <c r="G34" i="7"/>
  <c r="E34" i="7"/>
  <c r="F34" i="7"/>
  <c r="L34" i="7"/>
  <c r="M34" i="7"/>
  <c r="I34" i="7"/>
  <c r="G35" i="7"/>
  <c r="E35" i="7"/>
  <c r="F35" i="7"/>
  <c r="L35" i="7"/>
  <c r="M35" i="7"/>
  <c r="I35" i="7"/>
  <c r="G36" i="7"/>
  <c r="E36" i="7"/>
  <c r="F36" i="7"/>
  <c r="L36" i="7"/>
  <c r="M36" i="7"/>
  <c r="I36" i="7"/>
  <c r="G37" i="7"/>
  <c r="E37" i="7"/>
  <c r="F37" i="7"/>
  <c r="L37" i="7"/>
  <c r="M37" i="7"/>
  <c r="I37" i="7"/>
  <c r="B21" i="11"/>
  <c r="C21" i="11"/>
  <c r="J6" i="8"/>
  <c r="G7" i="8"/>
  <c r="J7" i="8"/>
  <c r="G8" i="8"/>
  <c r="J8" i="8"/>
  <c r="G9" i="8"/>
  <c r="J9" i="8"/>
  <c r="G10" i="8"/>
  <c r="J10" i="8"/>
  <c r="G11" i="8"/>
  <c r="J11" i="8"/>
  <c r="G12" i="8"/>
  <c r="J12" i="8"/>
  <c r="G13" i="8"/>
  <c r="J13" i="8"/>
  <c r="G14" i="8"/>
  <c r="J14" i="8"/>
  <c r="G15" i="8"/>
  <c r="J15" i="8"/>
  <c r="G16" i="8"/>
  <c r="J16" i="8"/>
  <c r="G17" i="8"/>
  <c r="J17" i="8"/>
  <c r="G18" i="8"/>
  <c r="J18" i="8"/>
  <c r="G19" i="8"/>
  <c r="J19" i="8"/>
  <c r="G20" i="8"/>
  <c r="J20" i="8"/>
  <c r="G21" i="8"/>
  <c r="J21" i="8"/>
  <c r="H22" i="7"/>
  <c r="K22" i="7"/>
  <c r="H22" i="8"/>
  <c r="G22" i="8"/>
  <c r="J22" i="8"/>
  <c r="H23" i="7"/>
  <c r="K23" i="7"/>
  <c r="H23" i="8"/>
  <c r="G23" i="8"/>
  <c r="J23" i="8"/>
  <c r="H24" i="7"/>
  <c r="K24" i="7"/>
  <c r="H24" i="8"/>
  <c r="G24" i="8"/>
  <c r="J24" i="8"/>
  <c r="H25" i="7"/>
  <c r="K25" i="7"/>
  <c r="H25" i="8"/>
  <c r="G25" i="8"/>
  <c r="J25" i="8"/>
  <c r="H26" i="7"/>
  <c r="K26" i="7"/>
  <c r="H26" i="8"/>
  <c r="G26" i="8"/>
  <c r="J26" i="8"/>
  <c r="H27" i="7"/>
  <c r="K27" i="7"/>
  <c r="H27" i="8"/>
  <c r="G27" i="8"/>
  <c r="J27" i="8"/>
  <c r="H28" i="7"/>
  <c r="K28" i="7"/>
  <c r="H28" i="8"/>
  <c r="G28" i="8"/>
  <c r="J28" i="8"/>
  <c r="H29" i="7"/>
  <c r="K29" i="7"/>
  <c r="H29" i="8"/>
  <c r="G29" i="8"/>
  <c r="J29" i="8"/>
  <c r="H30" i="7"/>
  <c r="K30" i="7"/>
  <c r="H30" i="8"/>
  <c r="G30" i="8"/>
  <c r="J30" i="8"/>
  <c r="H31" i="7"/>
  <c r="K31" i="7"/>
  <c r="H31" i="8"/>
  <c r="G31" i="8"/>
  <c r="J31" i="8"/>
  <c r="H32" i="7"/>
  <c r="K32" i="7"/>
  <c r="H32" i="8"/>
  <c r="G32" i="8"/>
  <c r="J32" i="8"/>
  <c r="H33" i="7"/>
  <c r="K33" i="7"/>
  <c r="H33" i="8"/>
  <c r="G33" i="8"/>
  <c r="J33" i="8"/>
  <c r="H34" i="7"/>
  <c r="K34" i="7"/>
  <c r="H34" i="8"/>
  <c r="G34" i="8"/>
  <c r="J34" i="8"/>
  <c r="H35" i="7"/>
  <c r="K35" i="7"/>
  <c r="H35" i="8"/>
  <c r="G35" i="8"/>
  <c r="J35" i="8"/>
  <c r="H36" i="7"/>
  <c r="K36" i="7"/>
  <c r="H36" i="8"/>
  <c r="G36" i="8"/>
  <c r="J36" i="8"/>
  <c r="H37" i="7"/>
  <c r="K37" i="7"/>
  <c r="H37" i="8"/>
  <c r="G37" i="8"/>
  <c r="J37" i="8"/>
  <c r="E6" i="9"/>
  <c r="B23" i="11"/>
  <c r="C23" i="11"/>
  <c r="G4" i="11"/>
  <c r="G8" i="6"/>
  <c r="K16" i="6"/>
  <c r="G41" i="9"/>
  <c r="F41" i="9"/>
  <c r="K17" i="6"/>
  <c r="G42" i="9"/>
  <c r="F42" i="9"/>
  <c r="K18" i="6"/>
  <c r="G43" i="9"/>
  <c r="F43" i="9"/>
  <c r="K19" i="6"/>
  <c r="G44" i="9"/>
  <c r="F44" i="9"/>
  <c r="K20" i="6"/>
  <c r="G45" i="9"/>
  <c r="F45" i="9"/>
  <c r="K21" i="6"/>
  <c r="G46" i="9"/>
  <c r="F46" i="9"/>
  <c r="K22" i="6"/>
  <c r="G47" i="9"/>
  <c r="F47" i="9"/>
  <c r="K23" i="6"/>
  <c r="G48" i="9"/>
  <c r="F48" i="9"/>
  <c r="K24" i="6"/>
  <c r="G49" i="9"/>
  <c r="F49" i="9"/>
  <c r="K25" i="6"/>
  <c r="G50" i="9"/>
  <c r="F50" i="9"/>
  <c r="K26" i="6"/>
  <c r="G51" i="9"/>
  <c r="F51" i="9"/>
  <c r="K27" i="6"/>
  <c r="G52" i="9"/>
  <c r="F52" i="9"/>
  <c r="K28" i="6"/>
  <c r="G53" i="9"/>
  <c r="F53" i="9"/>
  <c r="K29" i="6"/>
  <c r="G54" i="9"/>
  <c r="F54" i="9"/>
  <c r="K30" i="6"/>
  <c r="G55" i="9"/>
  <c r="F55" i="9"/>
  <c r="K31" i="6"/>
  <c r="G56" i="9"/>
  <c r="F56" i="9"/>
  <c r="K32" i="6"/>
  <c r="G57" i="9"/>
  <c r="F57" i="9"/>
  <c r="K33" i="6"/>
  <c r="G58" i="9"/>
  <c r="F58" i="9"/>
  <c r="K34" i="6"/>
  <c r="G59" i="9"/>
  <c r="F59" i="9"/>
  <c r="K35" i="6"/>
  <c r="G60" i="9"/>
  <c r="F60" i="9"/>
  <c r="K36" i="6"/>
  <c r="G61" i="9"/>
  <c r="F61" i="9"/>
  <c r="K37" i="6"/>
  <c r="G62" i="9"/>
  <c r="F62" i="9"/>
  <c r="K38" i="6"/>
  <c r="G63" i="9"/>
  <c r="F63" i="9"/>
  <c r="K39" i="6"/>
  <c r="G64" i="9"/>
  <c r="F64" i="9"/>
  <c r="K40" i="6"/>
  <c r="G65" i="9"/>
  <c r="F65" i="9"/>
  <c r="K41" i="6"/>
  <c r="G66" i="9"/>
  <c r="F66" i="9"/>
  <c r="K42" i="6"/>
  <c r="G67" i="9"/>
  <c r="F67" i="9"/>
  <c r="K43" i="6"/>
  <c r="G68" i="9"/>
  <c r="F68" i="9"/>
  <c r="K44" i="6"/>
  <c r="G69" i="9"/>
  <c r="F69" i="9"/>
  <c r="K45" i="6"/>
  <c r="G70" i="9"/>
  <c r="F70" i="9"/>
  <c r="K46" i="6"/>
  <c r="G71" i="9"/>
  <c r="F71" i="9"/>
  <c r="C41" i="9"/>
  <c r="C42" i="9"/>
  <c r="C43" i="9"/>
  <c r="C45" i="9"/>
  <c r="C44" i="9"/>
  <c r="A10" i="9"/>
  <c r="C46" i="9"/>
  <c r="C47" i="9"/>
  <c r="C40" i="9"/>
  <c r="B35" i="9"/>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C48" i="9"/>
  <c r="C49" i="9"/>
  <c r="C50" i="9"/>
  <c r="C51" i="9"/>
  <c r="C52" i="9"/>
  <c r="C53" i="9"/>
  <c r="C54" i="9"/>
  <c r="C55" i="9"/>
  <c r="F22" i="8"/>
  <c r="B31" i="6"/>
  <c r="C56" i="9"/>
  <c r="F23" i="8"/>
  <c r="B32" i="6"/>
  <c r="C57" i="9"/>
  <c r="F24" i="8"/>
  <c r="B33" i="6"/>
  <c r="C58" i="9"/>
  <c r="F25" i="8"/>
  <c r="B34" i="6"/>
  <c r="C59" i="9"/>
  <c r="F26" i="8"/>
  <c r="B35" i="6"/>
  <c r="C60" i="9"/>
  <c r="F27" i="8"/>
  <c r="B36" i="6"/>
  <c r="C61" i="9"/>
  <c r="F28" i="8"/>
  <c r="B37" i="6"/>
  <c r="C62" i="9"/>
  <c r="F29" i="8"/>
  <c r="B38" i="6"/>
  <c r="C63" i="9"/>
  <c r="F30" i="8"/>
  <c r="B39" i="6"/>
  <c r="C64" i="9"/>
  <c r="F31" i="8"/>
  <c r="B40" i="6"/>
  <c r="C65" i="9"/>
  <c r="F32" i="8"/>
  <c r="B41" i="6"/>
  <c r="C66" i="9"/>
  <c r="F33" i="8"/>
  <c r="B42" i="6"/>
  <c r="C67" i="9"/>
  <c r="F34" i="8"/>
  <c r="B43" i="6"/>
  <c r="C68" i="9"/>
  <c r="F35" i="8"/>
  <c r="B44" i="6"/>
  <c r="C69" i="9"/>
  <c r="F37" i="8"/>
  <c r="B46" i="6"/>
  <c r="C71" i="9"/>
  <c r="F36" i="8"/>
  <c r="B45" i="6"/>
  <c r="C7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5" authorId="0" shapeId="0" xr:uid="{00000000-0006-0000-0000-000001000000}">
      <text>
        <r>
          <rPr>
            <sz val="10"/>
            <rFont val="Arial"/>
            <family val="2"/>
          </rPr>
          <t>Dropdown: Yes / No. Controls PPA vs merchant revenue logic.</t>
        </r>
      </text>
    </comment>
    <comment ref="B16" authorId="0" shapeId="0" xr:uid="{00000000-0006-0000-0000-000002000000}">
      <text>
        <r>
          <rPr>
            <sz val="10"/>
            <rFont val="Arial"/>
            <family val="2"/>
          </rPr>
          <t>Dropdown: Low / Base / High. Selects the capture-rate scenario.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100-000001000000}">
      <text>
        <r>
          <rPr>
            <sz val="10"/>
            <rFont val="Arial"/>
            <family val="2"/>
          </rPr>
          <t>Use 'verified' only after checking the external source. Use 'to verify' when evidence is still missing. Use 'own assumption' for deliberately modelled assumptions.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200-000001000000}">
      <text>
        <r>
          <rPr>
            <sz val="10"/>
            <rFont val="Arial"/>
            <family val="2"/>
          </rPr>
          <t>Linked to Cover!B16. Change the scenario on Cover.</t>
        </r>
      </text>
    </comment>
    <comment ref="B4" authorId="0" shapeId="0" xr:uid="{00000000-0006-0000-0200-000002000000}">
      <text>
        <r>
          <rPr>
            <sz val="10"/>
            <rFont val="Arial"/>
            <family val="2"/>
          </rPr>
          <t>Linked to Cover!B15. Yes = PPA revenue price; No = merchant realized price.</t>
        </r>
      </text>
    </comment>
    <comment ref="B5" authorId="0" shapeId="0" xr:uid="{00000000-0006-0000-0200-000003000000}">
      <text>
        <r>
          <rPr>
            <sz val="10"/>
            <rFont val="Arial"/>
            <family val="2"/>
          </rPr>
          <t>Linked to Cover!B17. Change the market price scenario on Cover.</t>
        </r>
      </text>
    </comment>
  </commentList>
</comments>
</file>

<file path=xl/sharedStrings.xml><?xml version="1.0" encoding="utf-8"?>
<sst xmlns="http://schemas.openxmlformats.org/spreadsheetml/2006/main" count="1305" uniqueCount="749">
  <si>
    <t>FINNISH ONSHORE WIND PROJECT</t>
  </si>
  <si>
    <t>Project Finance Model</t>
  </si>
  <si>
    <t>MODEL OVERVIEW</t>
  </si>
  <si>
    <t>Item</t>
  </si>
  <si>
    <t>Value</t>
  </si>
  <si>
    <t>Unit</t>
  </si>
  <si>
    <t>Status</t>
  </si>
  <si>
    <t>Model version</t>
  </si>
  <si>
    <t>1.8</t>
  </si>
  <si>
    <t>-</t>
  </si>
  <si>
    <t>nominal, two scenario switches, horizon to 2058, scenario and break-even snapshots, Sources &amp; Checks, standalone BESS tab; BESS CAPEX-saving grid and snapshot checks</t>
  </si>
  <si>
    <t>Valuation date</t>
  </si>
  <si>
    <t>year</t>
  </si>
  <si>
    <t>Input</t>
  </si>
  <si>
    <t>Project COD</t>
  </si>
  <si>
    <t>Project lifetime</t>
  </si>
  <si>
    <t>years</t>
  </si>
  <si>
    <t>Installed capacity</t>
  </si>
  <si>
    <t>MW</t>
  </si>
  <si>
    <t>PPA mode</t>
  </si>
  <si>
    <t>Yes</t>
  </si>
  <si>
    <t>Capture-rate scenario</t>
  </si>
  <si>
    <t>Base</t>
  </si>
  <si>
    <t>Market price scenario</t>
  </si>
  <si>
    <t>WORKBOOK MAP</t>
  </si>
  <si>
    <t>Tab</t>
  </si>
  <si>
    <t>Purpose</t>
  </si>
  <si>
    <t>Inputs</t>
  </si>
  <si>
    <t>Core technical, commercial and financing assumptions; every assumption has source/status fields.</t>
  </si>
  <si>
    <t>Prices</t>
  </si>
  <si>
    <t>Market-price inputs, capture-rate scenarios and PPA switch.</t>
  </si>
  <si>
    <t>Production</t>
  </si>
  <si>
    <t>Annual wind generation (integrated BESS logic switched off; see BESS tab).</t>
  </si>
  <si>
    <t>Revenue</t>
  </si>
  <si>
    <t>Merchant/PPA revenue build-up.</t>
  </si>
  <si>
    <t>Cashflow</t>
  </si>
  <si>
    <t>Project and equity cash-flow bridge.</t>
  </si>
  <si>
    <t>Financing</t>
  </si>
  <si>
    <t>DSCR-based debt sizing and debt schedule.</t>
  </si>
  <si>
    <t>Taxes</t>
  </si>
  <si>
    <t>Taxable income, loss carryforward and corporate tax.</t>
  </si>
  <si>
    <t>Outputs</t>
  </si>
  <si>
    <t>IRR, NPV, LCOE, DSCR, PPA indifference price, scenario grids and break-even PPA price.</t>
  </si>
  <si>
    <t>Checks</t>
  </si>
  <si>
    <t>Model integrity and source-status checks.</t>
  </si>
  <si>
    <t>Changelog</t>
  </si>
  <si>
    <t>List of corrections and structural changes since v1.0, plus open items.</t>
  </si>
  <si>
    <t>Sources &amp; Checks</t>
  </si>
  <si>
    <t>Validation checks against sources and hand calculations; log of AI use.</t>
  </si>
  <si>
    <t>BESS</t>
  </si>
  <si>
    <t>Standalone co-located battery: inputs with sources, cash flows, NPV/IRR, scenario snapshot.</t>
  </si>
  <si>
    <t>INPUTS</t>
  </si>
  <si>
    <t>Blue cells are intended for user inputs. Green = sourced/verified. Yellow = own assumption / to verify. Grey = formula.</t>
  </si>
  <si>
    <t>PROJECT</t>
  </si>
  <si>
    <t>Parameter</t>
  </si>
  <si>
    <t>Source / reference</t>
  </si>
  <si>
    <t>Base / scenario</t>
  </si>
  <si>
    <t>Notes</t>
  </si>
  <si>
    <t>Model use</t>
  </si>
  <si>
    <t>Scaled to typical small Finnish project size. Reference projects: Honkakangas 105 MW and Rajamäenkylä 367 MW (OX2 press release, 1 Apr 2025), Pahkakoski 186 MW (NIB loan, 14 Dec 2023), Lestijärvi 455 MW, the largest Finnish wind farm built to date (Renewables Finland, wind power statistics 2025).</t>
  </si>
  <si>
    <t>own assumption</t>
  </si>
  <si>
    <t>Replace with project size.</t>
  </si>
  <si>
    <t>Renewables Finland / Finnish Wind Power Association, "Tuulivoimalan purkamisen kustannukset", 9 Aug 2023: calculated lifetime 35 years for turbines from the 2020s, 20-30 years for older ones. Base case 25 years chosen conservatively; sensitivity 20 and 30 years. Industry association source; lease and permit duration not checked. Danish Energy Agency (2026), sheet 20: technical lifetime 27 years (2025) and 30 years from 2030, depending on wind conditions and turbine design class.</t>
  </si>
  <si>
    <t>source-based</t>
  </si>
  <si>
    <t>Economic operating life.</t>
  </si>
  <si>
    <t>Production, Cashflow</t>
  </si>
  <si>
    <t>Commercial operation date</t>
  </si>
  <si>
    <t>FID assumed in H2 2026, construction about 15 to 24 months. Reference: OX2 FID 1 Apr 2025 with completion 2027 (Honkakangas) and 2028 (Rajamäenkylä); NIB loan Pahkakosken Energia Oy 14 Dec 2023 with completion expected Aug 2025. Danish Energy Agency (2026), sheet 20: construction time 1.5 years from FID to commissioning; planning from idea to construction start typically 2 to 3 years.</t>
  </si>
  <si>
    <t>COD assumption.</t>
  </si>
  <si>
    <t>Net capacity factor</t>
  </si>
  <si>
    <t>%</t>
  </si>
  <si>
    <t>OX2 press release, 1 Apr 2025: about 1.6 TWh per year from 472 MW = 38.7 % (own calculation; probability level not stated). NIB loan Pahkakosken Energia Oy, 14 Dec 2023: 516 GWh per year at 90 % probability for 186 MW = 31.7 % (P90). Own analysis of ENTSO-E data: Finnish fleet average 26-30 % (2023-2025, older turbines). 35 % chosen as net P50 estimate between the sources; sensitivity 32 to 38 %. Danish Energy Agency (2026), sheet 20: 3,500 full load hours (capacity factor 40.0 %) for 2025, average for expected Danish wind farm locations including wake losses; 3,600 hours for 2030.</t>
  </si>
  <si>
    <t>Use net output factor after availability/losses.</t>
  </si>
  <si>
    <t>Curtailment</t>
  </si>
  <si>
    <t>Own analysis of Finnish day-ahead prices and ENTSO-E wind generation (Actual Generation per Production Type, FI) (project data; https://transparency.entsoe.eu/, accesed 1.10.2026): share of wind energy produced in negative-price hours 8.2 % (2023), 11.5 % (2024), 6.5 % (2025), 1.8 % (last 12 months to Sep 2026). Base 5 % chosen between the recent value and the 2023-2025 average (8.8 %); future share is a judgement within this range. Sensitivity 2 to 10 %. Capture rates are taken from the curtailed variant to avoid double counting</t>
  </si>
  <si>
    <t>Base case corresponds to a PPA with no settlement in negative-price hours (seller bears the lost volume). Newer contracts keep settling with a EUR 0/MWh floor but at a lower strike; Modo Energy (Oct 2025, Spanish solar PPAs) estimates a price difference of at least about EUR 3/MWh between the two structures. 5 % curtailment × EUR 50/MWh = about EUR 2.5/MWh (own calculation), i.e. broadly equivalent. Sensitivity B11 = 0 only valid together with a lower PPA price. Grid curtailment by Fingrid not included.</t>
  </si>
  <si>
    <t>CAPEX</t>
  </si>
  <si>
    <t>Wind CAPEX</t>
  </si>
  <si>
    <t>€/kW</t>
  </si>
  <si>
    <t>OX2 press release, FID 1 Apr 2025: more than EUR 700m for 472 MW (about 1.48 EUR m/MW, lower bound). NIB loan Pahkakosken Energia Oy, 14 Dec 2023: capex EUR 230m for 186 MW (1.24 EUR m/MW). WindEurope Autumn 2026, p. 19: EU onshore nearly EUR 6bn for 3.8 GW (about 1.58 EUR m/MW, own calculation from rounded figures). 1,500 EUR/kW selected between the 2025 OX2 FIDs (1.44-1.48 EUR m/MW: Dec 2025, about EUR 400m for 277 MW; Apr 2025, more than EUR 700m for 472 MW) and WindEurope 2026 (about 1.58 EUR m/MW). Cross-check: IRENA (2026), Fig. 2.4: Finland TIC 2025 USD 1,480/kW.</t>
  </si>
  <si>
    <t>Base 1,500 EUR/kW in real 2026 EUR. Sensitivity 1,250 to 1,650 EUR/kW. Treated as all-in investment at FID (row 16 stays empty); scope of the sources not stated, to verify.</t>
  </si>
  <si>
    <t>Cashflow (CAPEX)</t>
  </si>
  <si>
    <t>BESS CAPEX</t>
  </si>
  <si>
    <t>€/kWh</t>
  </si>
  <si>
    <t>n/a</t>
  </si>
  <si>
    <t>Not used: integrated BESS switched off (B24 = 0); battery evaluated standalone in tab BESS. Only used if BESS capacity &gt; 0. Enter in real 2026 EUR; indexed with inflation (B63).</t>
  </si>
  <si>
    <t>Development / other CAPEX</t>
  </si>
  <si>
    <t>Assumed to be 0 and all CAPEX covered in row 14</t>
  </si>
  <si>
    <t>Optional project-specific allowance. Enter in real 2026 EUR; indexed with inflation (B63).</t>
  </si>
  <si>
    <t>OPEX &amp; LEASE</t>
  </si>
  <si>
    <t>Fixed OPEX</t>
  </si>
  <si>
    <t>€/MW/year</t>
  </si>
  <si>
    <t>Value 39,000 EUR/MW/yr = 39 EUR/kW/yr (compare B19 + B21 = 44 EUR/kW/yr). Generic O&amp;M about 35 EUR/kW/yr: NREL, Cost of Wind Energy Review 2024 Edition, US land-based reference plant (3.3 MW) about USD 43/kW/yr (scope not checked); Wind Energy - The Facts (EWEA): O&amp;M 1.2-1.5 EUR cent/kWh over turbine life (Germany, Spain, UK, Denmark) = about 37-46 EUR/kW/yr at 35 % capacity factor (own calculation). Nordic cross-checks: Danish Energy Agency, Technology Data for Generation of Electricity and District Heating, version 0019 (Aug 2026), sheet 20 Onshore turbines, 2025 values in 2020 prices: fixed O&amp;M 17.4 kEUR/MW/yr plus variable O&amp;M 2.06 EUR/MWh = about 24.6 EUR/kW/yr at 3,500 full load hours (own calculation; land rent and property tax not included; not inflated to 2026); Paaso and Khosravi (2021), Energy Engineering 118(4), Aalto University, use O&amp;M of 2 % of investment cost per year citing the Finnish Wind Power Association (2020; original page no longer available) = 31 EUR/kW/yr at 1,550 EUR/kW (own calculation; scope not stated). European study: KIC InnoEnergy / BVG Associates, "Future renewable energy costs: onshore wind", Sep 2014 (50 MW reference wind farm): OPEX 42 EUR/kW/yr (high wind site) and 36 EUR/kW/yr (low wind site) in real end-2013 prices, including land lease and community funds, excluding insurance and transmission charges; not inflated to 2026. Plus Finnish property tax about 4 EUR/kW/yr: Megatuuli Oy, Honkalankangas project presentation, 8 Nov 2021: about 30,000 EUR per turbine per year, 640,000 EUR per turbine over 30 years (age reduction); about 3-5 EUR/kW/yr at 6.5 MW per turbine (own calculation). The US source may already include property tax. Property tax cross-check: Renewables Finland, "Effects to the economy" (page last updated 24 Sep 2024, accessed 2 Oct 2026): power plant property tax rate max. 3.1 % (wind farms &gt; 10 MVA); tax base = foundation, tower and nacelle shell only (about 30 % of turbine investment cost); first-year taxable value 75 %, age discount 2.5 % p.a. down to a floor of 40 %; observed first-year property tax EUR 20,000-35,000 per turbine. At 6.5 MW per turbine = about 3-5.4 EUR/kW in year 1 (own calculation); formula example at EUR 1m/MW gives about 7 EUR/kW. Lifetime average about 70 % of year 1 because of the age discount (own calculation). About 4 EUR/kW/yr kept, indexed with inflation (simplification: age discount and construction cost index not modelled separately). No Finnish primary O&amp;M measurement found.</t>
  </si>
  <si>
    <t>All O&amp;M entered as fixed (variable OPEX = 0). Sensitivity band +/-30 % on B19 + B21 (about 31,000 to 57,000 EUR/MW/yr). No real cost decline assumed. Enter in real 2026 EUR; indexed with inflation (B63).</t>
  </si>
  <si>
    <t>Variable OPEX</t>
  </si>
  <si>
    <t>€/MWh</t>
  </si>
  <si>
    <t>Variable OPEX assumed to be small and included in fixed OPEX</t>
  </si>
  <si>
    <t>Optional variable cost. Enter in real 2026 EUR; indexed with inflation (B63).</t>
  </si>
  <si>
    <t>Land lease / rent</t>
  </si>
  <si>
    <t>Value 5,000 EUR/MW/yr = 5 EUR/kW/yr. Finnish Forest Association, "Wind power generates profits from state-owned land", 12 Sep 2014: landowners are paid EUR 5,000 to 15,000 per year per turbine (media ballpark figure quoted by Metsähallitus, actual rate not disclosed), equal to about 0.8 to 5.0 kEUR/MW/yr for 3 to 6.5 MW turbines (own calculation). Second anchor: cost split in Wind Energy - The Facts (EWEA), land rent about 13 % of O&amp;M = about 5 EUR/kW/yr (own calculation). Value set at the upper end of the Finnish range (conservative). Qualitative support: Renewables Finland: lease higher than forestry return; Megatuuli Oy, 8 Nov 2021: up to two to three times forestry income. Lease contracts are not public; media figure from 2014.</t>
  </si>
  <si>
    <t>Document local lease basis. Enter in real 2026 EUR; indexed with inflation (B63).</t>
  </si>
  <si>
    <t>BESS energy capacity</t>
  </si>
  <si>
    <t>MWh</t>
  </si>
  <si>
    <t>Set to 0 if no BESS. v1.7: kept at 0; the BESS is evaluated standalone in tab BESS.</t>
  </si>
  <si>
    <t>BESS round-trip efficiency</t>
  </si>
  <si>
    <t>Not used: integrated BESS switched off (B24 = 0); battery evaluated standalone in tab BESS. Only relevant if BESS is modelled.</t>
  </si>
  <si>
    <t>Production, Revenue</t>
  </si>
  <si>
    <t>BESS cycles</t>
  </si>
  <si>
    <t>cycles/year</t>
  </si>
  <si>
    <t>Not used: integrated BESS switched off (B24 = 0); battery evaluated standalone in tab BESS.Full-load discharge cycles per year; drives BESS arbitrage volume (Production).</t>
  </si>
  <si>
    <t>TAX</t>
  </si>
  <si>
    <t>Corporate income tax rate</t>
  </si>
  <si>
    <t>vero.fi, Your tax handbook in Finland: 20 % (accessed 1 Oct 2026)</t>
  </si>
  <si>
    <t>verified</t>
  </si>
  <si>
    <t>Current law 20 %. Government budget proposal for 2027 of 17 Sep 2026 (valtioneuvosto.fi): 18 % from 2027, loss carry-forward 25 years; not yet law. Loss carry-forward modelled without expiry, consistent with Government proposal HE 151/2026 (25 years for losses from tax year 2026). Own sensitivity: current-law 10-year expiry about −1.2 EUR m NPV; 18 % rate about +0.2 EUR m.</t>
  </si>
  <si>
    <t>FINANCING</t>
  </si>
  <si>
    <t>Target minimum DSCR</t>
  </si>
  <si>
    <t>x</t>
  </si>
  <si>
    <t>Typical minimum DSCR on P50: 1.25-1.35x contracted, 1.40-1.50x with significant merchant exposure (Intellifields, renewable energy financial model guide, 2026); 1.35-1.45x contracted renewables, 1.60x+ merchant (ibinterviewquestions.com, Aug 2026). Secondary sources, no Finnish term sheet available. 1.30x chosen for 100 % PPA over the full debt tenor (B44 = B34) with an investment-grade offtaker.</t>
  </si>
  <si>
    <t>Base (merchant case), PPA case: 1.4</t>
  </si>
  <si>
    <t>Single DSCR applied to all debt years. Scenario-dependent, set manually: 1.30 (100 % PPA, PPA tenor = debt tenor), 1.40 (65 % PPA), 1.60 (merchant, together with WACC 7 %). P90 sizing not modelled. Sensitivity 1.25 to 1.40.</t>
  </si>
  <si>
    <t>Debt interest rate</t>
  </si>
  <si>
    <t>EUR 10-year interest rate swap (vs 6M EURIBOR) about 3.7 % (Investing.com / BlueGamma, 28-29 Sep 2026). Lending margin 2.0 %: IRENA, "The cost of financing for renewable power", May 2023 (global baseline for large private infrastructure debt). as a proxy; the sculpted 15-year loan has an average life of about 8.7 years (own calculation from Financing), so the 10Y swap is slightly conservative.. All-in 5.75 % nominal; sensitivity 4.75 to 6.75 %. Hedging cost, fees and Finland-specific margin not checked (accessed 2 Oct 2026)</t>
  </si>
  <si>
    <t>Debt rate enters project NPV only via the WACC (B38), which is not linked to this cell. When varying B33, adjust B38 by about 0.38 pp per 1 pp change (47 % gearing × (1 - 20 % tax), see D38)</t>
  </si>
  <si>
    <t>Debt tenor</t>
  </si>
  <si>
    <t>Typical tenor for contracted onshore wind 15-18 years (Intellifields, 2026). 15 years = lower end, leaves 10-year tail to the 25-year life; sensitivity 18 years. Debt tenor equal to the 15-year PPA</t>
  </si>
  <si>
    <t>Debt tenor from first drawdown/COD.</t>
  </si>
  <si>
    <t>Debt sizing horizon</t>
  </si>
  <si>
    <t>set equal to debt tenor</t>
  </si>
  <si>
    <t>Years of CFADS used for sizing; limited to the debt tenor.</t>
  </si>
  <si>
    <t>RETURNS</t>
  </si>
  <si>
    <t>Discount rate / WACC</t>
  </si>
  <si>
    <t>CAPM build-up (own calculation): risk-free 3.58 % (Finland 10Y government bond, 18 Aug 2026, Trading Economics); equity risk premium 4.23 % (Damodaran, implied ERP, Jan 2026); unlevered beta 0.47 (Damodaran, Green &amp; Renewable Energy, US dataset, Jan 2026), relevered at 47 % gearing = 0.80; cost of equity about 7.0 %. WACC = 53 % × 7.0 % + 47 % × 5.75 % × (1 - 20 %) = about 5.9 % nominal after tax. Cross-check: IRENA (2026), ch. 1: about 3 % real for fully contracted projects; merchant WACC roughly double (citing BNEF 2026). 6 % used for the PPA case, 7 % for the merchant case.</t>
  </si>
  <si>
    <t>Nominal WACC (cash flows are nominal). Used for project NPV and LCOE. Scenario-dependent: about 6 % nominal for the PPA case (Cover!B15 = Yes), 7 % for the merchant case; set manually together with B32. Affects NPV and LCOE only, not the cash flows. Sensitivity 5 to 8 %. Model run: 1 pp lower WACC reduces LCOE by about 3 EUR/MWh (own calculation)</t>
  </si>
  <si>
    <t>Target equity IRR</t>
  </si>
  <si>
    <t>CAPM cost of equity about 7.0 % (see D38) plus own premium of 2-3 pp for a single unlisted asset with construction and volume risk = 9-10 %. 10 % used (upper end). Sensitivity 8 to 12 %.</t>
  </si>
  <si>
    <t>Beta from Damodaran US dataset (European dataset not checked); no Finland country risk premium added (AA-rated, to verify).</t>
  </si>
  <si>
    <t>PPA price</t>
  </si>
  <si>
    <t>Upper end of observed market levels: LevelTen Energy PPA Price Index Europe Q1 2026, top-quartile (P25) wind offers EUR 49.95/MWh, Finland and Portugal only, seller offers not transactions (via SR Inc NZCB Europe VPPA Opportunity Index 2026 Q1). Lower reference: KYOS PPA Insights No. 19 (Jun 2026), Finland, 2027-2036: onshore wind capture price 36.1 EUR/MWh, P25 PPA estimate 28.9 EUR/MWh (baseload 60.0 EUR/MWh). Pexapark Euro Composite Jul 2026: EUR 45/MWh (all technologies, Europe). Break-even PPA implied by recent OX2 FIDs about 62-67 EUR/MWh (own model runs, see Sources &amp; Checks). Fixed nominal; sensitivity 25 to 80 EUR/MWh (accessed 2 Oct 2026). Model break-even for this 100 MW case: 70.35 (NPV = 0) and 73.94 EUR/MWh (equity IRR 10 %), Outputs rows 28-32. LevelTen Q2 2026 (23 Jul 2026): Finnish wind prices held steady (leveltenenergy.com, accessed 4 Oct 2026).</t>
  </si>
  <si>
    <t>Fixed nominal (B64 = No). Chosen as upper bound for robustness, not as a data-centre premium. Break-even PPA price for the base case: see Outputs / Sources &amp; Checks.</t>
  </si>
  <si>
    <t>PPA STRUCTURE</t>
  </si>
  <si>
    <t>PPA volume share</t>
  </si>
  <si>
    <t>% of net generation</t>
  </si>
  <si>
    <t>Both recent Finnish FIDs are fully contracted: OX2 Rajamäenkylä/Honkakangas (472 MW, 1 Apr 2025): long-term PPA with one multinational corporate offtaker (Amazon per DatacenterDynamics); OX2 Kannisto/Korkeamaa/Salo-Ylikoski (277 MW, 16 Dec 2025): long-term corporate VPPAs with several offtakers. Base 100 %; sensitivity 65 % (project brief)</t>
  </si>
  <si>
    <t>Share of wind volume sold under the PPA while PPA mode = Yes. Remainder is merchant.</t>
  </si>
  <si>
    <t>PPA tenor</t>
  </si>
  <si>
    <t>years from COD</t>
  </si>
  <si>
    <t>Base 15 years: Google wind PPAs in Europe of 15 years (Renner Energies onshore portfolio, Belgium, DatacenterDynamics, Jul 2026). Google's Finnish wind PPAs to date are 10 years (VALOREM Matkussaari, signed 2024, press release Sep 2026). The 22-year Google-Fortum PPA (9 Sep 2026) covers existing nuclear baseload (Loviisa), not a wind reference. Sensitivity 10 and 20 years (accessed 2 Oct 2026).</t>
  </si>
  <si>
    <t>Data-centre offtaker case (corporate pay-as-produced PPA). Model run: 20 instead of 15 years improves NPV by only about EUR 5m, because a fixed nominal price loses real value in later years (own calculation). After PPA expiry: merchant sales at the selected capture rate, used as a proxy for re-contracting at market value (a follow-on PPA would be priced at the then-expected capture price less a hedging discount, KYOS Jun 2025: about 20 %). Lenders give no credit to uncontracted re-contracting.</t>
  </si>
  <si>
    <t>BESS (SIMPLIFIED REVENUE STACK, GRID-CHARGED)</t>
  </si>
  <si>
    <t>BESS power capacity</t>
  </si>
  <si>
    <t>Not used: integrated BESS switched off (B24 = 0); battery evaluated standalone in tab BESS. Set to 0 if no BESS. Needed for reserve revenue and BESS fixed OPEX. v1.7: kept at 0; the BESS is evaluated standalone in tab BESS.</t>
  </si>
  <si>
    <t>BESS net arbitrage margin</t>
  </si>
  <si>
    <t>€/MWh discharged</t>
  </si>
  <si>
    <t>Not used: integrated BESS switched off (B24 = 0); battery evaluated standalone in tab BESS</t>
  </si>
  <si>
    <t>BESS reserve-market revenue</t>
  </si>
  <si>
    <t>BESS fixed OPEX</t>
  </si>
  <si>
    <t>BESS operating life</t>
  </si>
  <si>
    <t>Project brief (approx. 15 years)</t>
  </si>
  <si>
    <t>Replacement CAPEX falls in the year after this life (if the project runs longer). Still used: operating life of the standalone BESS (BESS!B23). Do not delete.</t>
  </si>
  <si>
    <t>BESS replacement CAPEX</t>
  </si>
  <si>
    <t>% of initial BESS CAPEX</t>
  </si>
  <si>
    <t>END OF LIFE, TAX AND FINANCING (ADDITIONAL)</t>
  </si>
  <si>
    <t>Decommissioning cost net of salvage</t>
  </si>
  <si>
    <t>Renewables Finland (Finnish Wind Power Association), "Tuulivoimalan purkamisen kustannukset", 9 Aug 2023 (cost data AFRY Finland, Havator): scrap revenue from recycled materials of a steel-tower turbine 69,500-117,500 EUR per turbine (2023 prices, 10 turbines dismantled at once). SYKE, "Maatuulivoimaloiden purkamiskustannusten ja purkamisen rahoitusmallien arviointi", 9 Jun 2025: tower removal 132,400-167,400 EUR, ground-slab foundation removal to 2 m depth 36,700-70,400 EUR, landscaping 3,900-4,400 EUR per turbine (gross, ex VAT). Net of scrap revenue 55,500-172,700 EUR per turbine (lowest cost with highest revenue to highest cost with lowest revenue), converted at 6.5 MW per turbine (own calculation, average of Finnish installations 2025) = 8.5-27 EUR/kW.</t>
  </si>
  <si>
    <t>Base 20 EUR/kW: upper-middle of the 8.5-27 EUR/kW range (tower and foundation to 2 m, net of scrap revenue). Sensitivity band 5 to 75 EUR/kW: low = tower removal and foundation covered only (net about 1-13), high = full removal of foundations and lift-field structures (net about 46-97). Scrap revenue 25+ years ahead is uncertain (SYKE excludes it in its estimates). Legal scope still open (government bill planned for autumn 2026). Incurred in the last operating year, not tax-deducted. Enter in real 2026 EUR; indexed with inflation (B63)</t>
  </si>
  <si>
    <t>Tax depreciation rate (declining balance)</t>
  </si>
  <si>
    <t>% of opening tax book value</t>
  </si>
  <si>
    <t>KPMG Law, "Taxation of wind power – 2023" (Mar 2023), Finland, p. 55: wind power plant split into components for tax depreciation; tower (frame body and engine room) = construction, max. 20 % p.a.; rotor, gearbox and generator = movable fixed assets, max. 25 % p.a. (declining balance, EVL 30 §). Structure share about 30 % of turbine cost (Renewables Finland, "Effects to the economy", accessed 2 Oct 2026). Blended rate 0.3 × 20 % + 0.7 × 25 % = 23.5 % applied to all CAPEX (own calculation; simplification, balance-of-plant split not checked). Sensitivity 25 %. Source from 2023, current law not re-checked.</t>
  </si>
  <si>
    <t>Applied to CAPEX incl. replacement CAPEX from the year after spend.</t>
  </si>
  <si>
    <t>Interest deduction cap</t>
  </si>
  <si>
    <t>% of adjusted taxable income (EBITDA)</t>
  </si>
  <si>
    <t>vero.fi, Your tax handbook in Finland (accessed 1 Oct 2026)</t>
  </si>
  <si>
    <t>Applies above the threshold below. Disallowed interest is not carried forward (conservative).</t>
  </si>
  <si>
    <t>Interest deduction threshold</t>
  </si>
  <si>
    <t>€/year</t>
  </si>
  <si>
    <t>Net interest up to this amount is fully deductible. Simplification (conservative): the €3m safe harbour for net interest paid to unrelated parties and the balance-sheet exemption are not applied (vero.fi tax handbook). Effect: project NPV unchanged (unlevered tax); equity IRR +0.06 pp.</t>
  </si>
  <si>
    <t>Maximum gearing</t>
  </si>
  <si>
    <t>debt / initial CAPEX</t>
  </si>
  <si>
    <t>OX2 Rajamäenkylä and Honkakangas (472 MW): EUR 600m debt vs total investment over EUR 700m = max. about 85 % (own calculation, upper bound; facility may include non-term tranches), with corporate PPAs (DLA Piper, 4 Apr 2025). 75 % chosen as conservative cap for a partly merchant project; in practice the DSCR constraint is expected to bind.</t>
  </si>
  <si>
    <t>Caps the DSCR-sized debt. Binds only at high PPA prices (break-even at 10 % equity IRR, Outputs row 31).</t>
  </si>
  <si>
    <t>INFLATION AND INDEXATION</t>
  </si>
  <si>
    <t>Inflation rate</t>
  </si>
  <si>
    <t>% p.a.</t>
  </si>
  <si>
    <t>ECB staff macroeconomic projections, Sep 2026: euro area HICP inflation 3.0 % (2026), 2.5 % (2027), 2.1 % (2028). ECB Survey of Professional Forecasters Q3 2026 (press release 24 Jul 2026): longer-term expectation (2031) 2.0 %. ECB target: 2 % in the medium term (monetary policy decision, 10 Sep 2026). Flat 2.0 % applied over the whole horizon for simplicity; the higher near-term rates (about +0.5 pp in 2027) are not modelled. Euro area figures, no Finland-specific long-term forecast used (accessed 2 Oct 2026)</t>
  </si>
  <si>
    <t>Indexes real 2026 prices and costs to nominal. WACC and debt rate are nominal.</t>
  </si>
  <si>
    <t>Prices, Revenue, Cashflow, Financing</t>
  </si>
  <si>
    <t>PPA price indexed to inflation?</t>
  </si>
  <si>
    <t>No</t>
  </si>
  <si>
    <t>Yes / No</t>
  </si>
  <si>
    <t>Fixed nominal price is the European norm for corporate PPAs: fixed-price PPAs valued by buyers as a hedge against wholesale price volatility (S&amp;P Global Market Intelligence, Apr 2025); corporate PPAs use fixed or floor pricing (Bird &amp; Bird, International Corporate PPA Report 2025/26). Share of escalated or CPI-indexed deals not found in public sources (to verify). Indexed case (Yes) only comparable with a lower start price: at 2 % inflation and 6 % discount rate over 15 years, EUR 50/MWh fixed nominal is equivalent in present value to about EUR 45/MWh indexed (own calculation). Indexation shifts inflation risk to the buyer; it is not an upside on its own.</t>
  </si>
  <si>
    <t>No = fixed nominal PPA price. Yes = PPA price entered in real 2026 EUR and indexed.</t>
  </si>
  <si>
    <t>MARKET PRICES AND CAPTURE RATES (FI DAY-AHEAD, TIME-WEIGHTED, REAL 2026 EUR)</t>
  </si>
  <si>
    <t>Market price 2026 (observed start value)</t>
  </si>
  <si>
    <t>Own analysis of Finnish day-ahead prices (project data; https://transparency.entsoe.eu/, accessed 1 Oct 2026): time-weighted average Oct 2025-Sep 2026 = 55.78 EUR/MWh (calendar years, nominal: 2023 56.47; 2024 45.57; 2025 40.47 EUR/MWh).</t>
  </si>
  <si>
    <t>All scenarios</t>
  </si>
  <si>
    <t>Common 2026 start value of all three paths; observed nominal value treated as real 2026 EUR. Level raised by the 2026 energy price shock (ECB staff projections, Sep 2026).</t>
  </si>
  <si>
    <t>Market price 2028 (futures anchor)</t>
  </si>
  <si>
    <t>EEX Finnish Power Future (FI, base, year), Cal-28 settlement 56.02 EUR/MWh nominal, trading day 1 Oct 2026 (eex.com market data, accessed 2 Oct 2026). Real 2026 EUR: 56.02 / (1 + B63)^2 = 53.84 EUR/MWh (own calculation). Further curve for cross-check: Cal-27 62.54, Cal-29 53.29, Cal-30 52.68, Cal-31 52.57, Cal-32 53.28 EUR/MWh nominal. Liquidity not checked; forward prices include a risk premium and the 2026 energy price shock.</t>
  </si>
  <si>
    <t>Futures anchor for 2028; all three paths pass through this value. Futures are nominal: enter futures price / (1 + B63)^2 to convert to real 2026 EUR.</t>
  </si>
  <si>
    <t>Market price Base 2030</t>
  </si>
  <si>
    <t>EEX Finnish Power Future (FI, base, year), Cal-30 settlement 52.68 EUR/MWh nominal, trading day 1 Oct 2026 (eex.com, accessed 2 Oct 2026); real 2026 EUR: 52.68 / (1 + B63)^4 = 48.67 EUR/MWh (own calculation). Cross-check: Lampela (2023), Table 5.2, model v27, scenario x1,2 (94 TWh, 15 GW): 39.0 EUR/MWh; model v36: 20.1. Market forward used for the near term, Lampela from 2040.</t>
  </si>
  <si>
    <t>Base 2030 from futures, between the Lampela Low (34.7) and High (56.6) 2030 values. Far-dated futures are thinly traded.</t>
  </si>
  <si>
    <t>Market price Base 2040</t>
  </si>
  <si>
    <t>Lampela, S. (2023), "Long-term electricity price forecasting in Finland", MSc thesis, Tampere University, Nov 2023, Table 5.4 (model v27): scenario x1,2 = demand 115 TWh, wind 23 GW: 39.8 EUR/MWh.</t>
  </si>
  <si>
    <t>Only model v27 available for 2040 and 2050; author stresses trends over exact values.</t>
  </si>
  <si>
    <t>Market price Base 2050</t>
  </si>
  <si>
    <t>Lampela, S. (2023), "Long-term electricity price forecasting in Finland", MSc thesis, Tampere University, Nov 2023, Table 5.5 (model v27): scenario x1,2 = demand 126 TWh (123 TWh in Table 4.4), wind 30 GW: 45.6 EUR/MWh.</t>
  </si>
  <si>
    <t>Held flat in real terms after 2050.</t>
  </si>
  <si>
    <t>Market price Low 2030</t>
  </si>
  <si>
    <t>Lampela, S. (2023), "Long-term electricity price forecasting in Finland", MSc thesis, Tampere University, Nov 2023, Table 5.2 (model v27): scenario x1,3 = demand 94 TWh, wind 23 GW: 34.7 EUR/MWh (model v36: 15.8).</t>
  </si>
  <si>
    <t>Low</t>
  </si>
  <si>
    <t>Low storyline: wind build-out outpaces demand. Model v27 produces no prices below about 14 EUR/MWh, so low cases are likely overstated.</t>
  </si>
  <si>
    <t>Market price Low 2040</t>
  </si>
  <si>
    <t>Lampela, S. (2023), "Long-term electricity price forecasting in Finland", MSc thesis, Tampere University, Nov 2023, Table 5.4 (model v27): scenario x1,3 = demand 115 TWh, wind 40 GW: 32.6 EUR/MWh.</t>
  </si>
  <si>
    <t>Market price Low 2050</t>
  </si>
  <si>
    <t>Lampela, S. (2023), "Long-term electricity price forecasting in Finland", MSc thesis, Tampere University, Nov 2023, Table 5.5 (model v27): scenario x1,3 = demand 126 TWh, wind 50 GW: 37.4 EUR/MWh.</t>
  </si>
  <si>
    <t>Market price High 2030</t>
  </si>
  <si>
    <t>Lampela, S. (2023), "Long-term electricity price forecasting in Finland", MSc thesis, Tampere University, Nov 2023, Table 5.2 (model v27): scenario x2,2 = demand 105 TWh, wind 15 GW: 56.6 EUR/MWh (model v36: 34.5).</t>
  </si>
  <si>
    <t>High</t>
  </si>
  <si>
    <t>High storyline: prices stay near today's level (observed 55.78 EUR/MWh, row 68).</t>
  </si>
  <si>
    <t>Market price High 2040</t>
  </si>
  <si>
    <t>Held at the 2030 High value. Thesis high-demand cells (2040: 85-152 EUR/MWh; 2050: 115-173 EUR/MWh) not used: the author flags the model as unreliable in high-demand scenarios (Lampela 2023, p. 81).</t>
  </si>
  <si>
    <t>Market price High 2050</t>
  </si>
  <si>
    <t>Held at the 2030 High value (see row above).</t>
  </si>
  <si>
    <t>Capture rate Low</t>
  </si>
  <si>
    <t>% of time-weighted price</t>
  </si>
  <si>
    <t>Own analysis of ENTSO-E wind generation (Actual Generation per Production Type, FI) and Finnish day-ahead prices (project data; https://transparency.entsoe.eu/, accessed 1 Oct 2026): capture rate after curtailment of negative-price hours 80.6 % (2023), 74.5 % (2024), 59.1 % (2025), 63.0 % (Oct 2025-Sep 2026); average installed wind capacity rose from about 5.8 to 9.4 GW.</t>
  </si>
  <si>
    <t>Further cannibalisation as Finnish wind capacity grows. Flat over the operating life.</t>
  </si>
  <si>
    <t>Capture rate Base</t>
  </si>
  <si>
    <t>Own analysis of ENTSO-E wind generation (Actual Generation per Production Type, FI) and Finnish day-ahead prices (project data; https://transparency.entsoe.eu/, accessed 1 Oct 2026): capture rate after curtailment of negative-price hours 80.6 % (2023), 74.5 % (2024), 59.1 % (2025), 63.0 % (Oct 2025-Sep 2026); average installed wind capacity rose from about 5.8 to 9.4 GW. Base between 2025 (59.1 %) and the last 12 months (63.0 %). Cross-check: KYOS PPA Insights No. 19 (Jun 2026), Finland 2027-2036: wind capture 36.1 / baseload 60.0 EUR/MWh = 60.2 % (own calculation). Lowest onshore wind capture rate of all zones in the KYOS table (SE3 85 %, DK1 88 %, DE 83 %)</t>
  </si>
  <si>
    <t>Flat over the operating life (no trend). Curtailed variant used to match curtailment in B11 (no double counting).</t>
  </si>
  <si>
    <t>Capture rate High</t>
  </si>
  <si>
    <t>More flexibility (storage, demand response); still below the 2023-2024 levels (74.5-80.6 %). Flat over the operating life.</t>
  </si>
  <si>
    <t>Notes on the price anchors: Lampela (2023) is a master's thesis using a neural network trained on data from 2017 to Jul 2022, not a power system model. Model versions v27 and v36 differ by up to about 20 EUR/MWh in 2030; against a Ramboll market model one scenario differs by about 70 EUR/MWh (Lampela 2023, abstract and Table 5.2). The thesis does not state the price basis (real or nominal, price year); values are used unadjusted as real 2026 EUR (to verify; read as 2023 EUR they would be roughly 7-8 % higher, own estimate). Prices interpolates linearly between anchor years and holds real prices flat after 2050 (own assumption). Market price and capture-rate scenarios are independent switches, although low prices and low capture rates tend to occur together. Base path uses EEX futures for 2028 and 2030 (market view) and Lampela from 2040 (fundamental view); the futures sit about 10 EUR/MWh above the Lampela Base 2030 value, suggesting the thesis understates today's price level.</t>
  </si>
  <si>
    <t>PRICES</t>
  </si>
  <si>
    <t>ANNUAL MARKET PRICE &amp; CAPTURE RATE INPUTS</t>
  </si>
  <si>
    <t>PRICE PATH ANCHORS (real 2026 EUR/MWh, linked to Inputs)</t>
  </si>
  <si>
    <t>Year</t>
  </si>
  <si>
    <t>Market price Base (real 2026 EUR/MWh)</t>
  </si>
  <si>
    <t>Low capture</t>
  </si>
  <si>
    <t>Base capture</t>
  </si>
  <si>
    <t>High capture</t>
  </si>
  <si>
    <t>Selected capture</t>
  </si>
  <si>
    <t>Realized price (nominal)</t>
  </si>
  <si>
    <t>PPA price (nominal)</t>
  </si>
  <si>
    <t>Selected revenue price (nominal)</t>
  </si>
  <si>
    <t>PPA window (1/0)</t>
  </si>
  <si>
    <t>Inflation index (2026 = 1)</t>
  </si>
  <si>
    <t>PPA index factor</t>
  </si>
  <si>
    <t>Market price Low (real 2026 EUR/MWh)</t>
  </si>
  <si>
    <t>Market price High (real 2026 EUR/MWh)</t>
  </si>
  <si>
    <t>Selected market price (real 2026 EUR/MWh)</t>
  </si>
  <si>
    <t>Anchor year</t>
  </si>
  <si>
    <t>Inputs reference</t>
  </si>
  <si>
    <t>Inputs 68 (all)</t>
  </si>
  <si>
    <t>Inputs 69 (blank = interpolated)</t>
  </si>
  <si>
    <t>Base 70 / Low 73 / High 76</t>
  </si>
  <si>
    <t>Base 71 / Low 74 / High 77</t>
  </si>
  <si>
    <t>Base 72 / Low 75 / High 78</t>
  </si>
  <si>
    <t>Notes: Market prices are time-average day-ahead prices in real 2026 EUR/MWh, indexed to nominal with the inflation index. All price and capture inputs sit in Inputs rows 68-81 with source and status. Base (B), Low (N) and High (O) paths interpolate linearly between the anchor years in R8:R12 (2026 observed, 2028 and 2030 optional futures anchor, 2040, 2050) and stay flat in real terms after 2050. Capture rates (C:E) are flat per scenario. The market price scenario (Cover!B17) selects the path and the capture-rate scenario (Cover!B16) selects the capture rate, independently of each other. Selected revenue price = PPA share x PPA price + (1 - share) x merchant realised price (nominal). 2027 is the construction year with COD 2028.</t>
  </si>
  <si>
    <t>PRODUCTION</t>
  </si>
  <si>
    <t>WIND GENERATION</t>
  </si>
  <si>
    <t>Capacity MW</t>
  </si>
  <si>
    <t>Capacity factor</t>
  </si>
  <si>
    <t>Hours</t>
  </si>
  <si>
    <t>Gross MWh</t>
  </si>
  <si>
    <t>Net MWh</t>
  </si>
  <si>
    <t>BESS charge MWh (grid, memo)</t>
  </si>
  <si>
    <t>BESS discharge MWh (memo)</t>
  </si>
  <si>
    <t>Net exported MWh (wind)</t>
  </si>
  <si>
    <t>Source</t>
  </si>
  <si>
    <t>Wind operating flag</t>
  </si>
  <si>
    <t>BESS operating flag</t>
  </si>
  <si>
    <t>formula</t>
  </si>
  <si>
    <t>Notes: Year 2026 is the construction year (flag = 0). Operating flag is driven by COD (Inputs!B9) and lifetime (Inputs!B8). BESS volumes are grid-side memo items (V1: BESS grid-charged), so wind export is not reduced by BESS charging; BESS revenue is built in Revenue from the net margin and reserve inputs.</t>
  </si>
  <si>
    <t>REVENUE</t>
  </si>
  <si>
    <t>REVENUE BUILD-UP</t>
  </si>
  <si>
    <t>Net generation MWh</t>
  </si>
  <si>
    <t>Selected revenue price</t>
  </si>
  <si>
    <t>Wind revenue</t>
  </si>
  <si>
    <t>BESS revenue</t>
  </si>
  <si>
    <t>Other revenue</t>
  </si>
  <si>
    <t>Total revenue</t>
  </si>
  <si>
    <t>Fixed OPEX (wind + BESS)</t>
  </si>
  <si>
    <t>Lease</t>
  </si>
  <si>
    <t>EBITDA</t>
  </si>
  <si>
    <t>DEBT SIZING</t>
  </si>
  <si>
    <t>Metric</t>
  </si>
  <si>
    <t>Comment</t>
  </si>
  <si>
    <t>Sizing detail</t>
  </si>
  <si>
    <t>Sizing constraint</t>
  </si>
  <si>
    <t>Total initial CAPEX, nominal (€)</t>
  </si>
  <si>
    <t>Interest rate</t>
  </si>
  <si>
    <t>Debt pricing</t>
  </si>
  <si>
    <t>DSCR-sized debt, uncapped (€)</t>
  </si>
  <si>
    <t>Gearing-cap scale factor</t>
  </si>
  <si>
    <t>Indicative debt amount</t>
  </si>
  <si>
    <t>€</t>
  </si>
  <si>
    <t>DSCR-sculpted debt, capped by maximum gearing (see sizing detail)</t>
  </si>
  <si>
    <t>Resulting gearing (debt / CAPEX)</t>
  </si>
  <si>
    <t>Indicative equity amount</t>
  </si>
  <si>
    <t>Initial CAPEX less debt</t>
  </si>
  <si>
    <t>Maximum gearing (input)</t>
  </si>
  <si>
    <t>DEBT SCHEDULE</t>
  </si>
  <si>
    <t>CFADS</t>
  </si>
  <si>
    <t>Opening debt</t>
  </si>
  <si>
    <t>Drawdown</t>
  </si>
  <si>
    <t>Interest</t>
  </si>
  <si>
    <t>Principal</t>
  </si>
  <si>
    <t>Debt service</t>
  </si>
  <si>
    <t>Closing debt</t>
  </si>
  <si>
    <t>DSCR</t>
  </si>
  <si>
    <t>Minimum DSCR</t>
  </si>
  <si>
    <t>Check</t>
  </si>
  <si>
    <t>Sizing window (1/0)</t>
  </si>
  <si>
    <t>Target debt service (unscaled)</t>
  </si>
  <si>
    <t>Discount factor</t>
  </si>
  <si>
    <t>Notes: Debt is drawn at the end of the construction year (no interest during construction modelled). Target debt service = CFADS (unlevered tax) / minimum DSCR over min(tenor, sizing horizon); debt = PV of target debt service at the debt interest rate, capped at maximum gearing x CAPEX. Principal = debt service - interest.</t>
  </si>
  <si>
    <t>TAXES</t>
  </si>
  <si>
    <t>TAX CALCULATION</t>
  </si>
  <si>
    <t>Depreciation</t>
  </si>
  <si>
    <t>EBIT</t>
  </si>
  <si>
    <t>EBT</t>
  </si>
  <si>
    <t>Opening tax losses</t>
  </si>
  <si>
    <t>Taxable income</t>
  </si>
  <si>
    <t>Tax losses carried</t>
  </si>
  <si>
    <t>Tax rate</t>
  </si>
  <si>
    <t>Tax</t>
  </si>
  <si>
    <t>Disallowed interest</t>
  </si>
  <si>
    <t>Taxable result before losses</t>
  </si>
  <si>
    <t>Opening tax losses (unlev.)</t>
  </si>
  <si>
    <t>Taxable income (unlev.)</t>
  </si>
  <si>
    <t>Tax losses carried (unlev.)</t>
  </si>
  <si>
    <t>Tax (unlevered)</t>
  </si>
  <si>
    <t>Notes: Tax depreciation = declining balance on CAPEX placed in service (spend in year t depreciates from t+1). Interest above the threshold is deductible only up to the EBITDA cap; disallowed interest is not carried forward. Loss carry-forward has no expiry in this version (10 years under current law; 25 years proposed from 2026 losses - to verify).</t>
  </si>
  <si>
    <t>CASHFLOW</t>
  </si>
  <si>
    <t>PROJECT CASH FLOW</t>
  </si>
  <si>
    <t>OPEX</t>
  </si>
  <si>
    <t>CAPEX / decom.</t>
  </si>
  <si>
    <t>CFADS (after tax)</t>
  </si>
  <si>
    <t>Project FCF (unlevered)</t>
  </si>
  <si>
    <t>Equity FCF</t>
  </si>
  <si>
    <t>Cumulative equity CF</t>
  </si>
  <si>
    <t>CFADS for sizing</t>
  </si>
  <si>
    <t>Notes: All cash flows are nominal (real 2026 inputs indexed with inflation). CFADS = EBITDA - tax paid (levered tax incl. interest shield). Project FCF uses unlevered tax (no interest shield) and excludes debt service. Equity FCF = EBITDA - tax - CAPEX - debt service + debt drawdown. Debt is sized on CFADS with unlevered tax (column N), which avoids a circular reference.</t>
  </si>
  <si>
    <t>OUTPUTS</t>
  </si>
  <si>
    <t>KEY PROJECT METRICS</t>
  </si>
  <si>
    <t>Project IRR (nominal)</t>
  </si>
  <si>
    <t>Equity IRR (nominal)</t>
  </si>
  <si>
    <t>Project NPV (nominal, at WACC)</t>
  </si>
  <si>
    <t>LCOE (real 2026 EUR, wind only)</t>
  </si>
  <si>
    <t>PPA indifference price (PV)</t>
  </si>
  <si>
    <t>Levelised cost in real 2026 EUR/MWh: nominal wind and development CAPEX, OPEX, lease and decommissioning discounted at the nominal WACC, divided by discounted generation weighted with the inflation index. Pre-tax, BESS excluded.</t>
  </si>
  <si>
    <t>Discounted merchant realised price over the PPA tenor on PPA volume. Fixed nominal EUR/MWh (or real 2026 EUR/MWh if the PPA is indexed). Excludes the effect on debt sizing; the break-even PPA price including debt sizing is in rows 28-32 (snapshot).</t>
  </si>
  <si>
    <t>SCENARIO OUTPUT: 100 % PPA AT 50 EUR/MWh, DSCR 1.30x, WACC 6 % (SNAPSHOT: MARKET PRICE LEVEL x CAPTURE RATE)</t>
  </si>
  <si>
    <t>Capture Low</t>
  </si>
  <si>
    <t>Capture Base</t>
  </si>
  <si>
    <t>Capture High</t>
  </si>
  <si>
    <t>Project NPV (EUR, nominal)</t>
  </si>
  <si>
    <t>Price Low</t>
  </si>
  <si>
    <t>Price Base</t>
  </si>
  <si>
    <t>Price High</t>
  </si>
  <si>
    <t>Snapshot values: each cell is a full model run with the two Cover switches set to that combination (PPA mode Yes, PPA price 50 EUR/MWh, DSCR 1.30x, WACC 6 %). The PPA covers 2028-2042, so the scenarios only affect the merchant tail from 2043; debt sizing is identical in all nine runs. Live result of the active scenario: Key project metrics above.</t>
  </si>
  <si>
    <t>SCENARIO OUTPUT: FULL MERCHANT, DSCR 1.60x, WACC 7 % (SNAPSHOT: MARKET PRICE LEVEL x CAPTURE RATE)</t>
  </si>
  <si>
    <t>Project NPV (EUR, nominal, at 7 % WACC)</t>
  </si>
  <si>
    <t>Snapshot values: Cover!B15 = No, Inputs!B32 = 1.60, Inputs!B38 = 7 %, other inputs as Base case. NPV is discounted at 7 % and is therefore not directly comparable with the PPA grid (6 %); equity IRR is. Debt is small because merchant CFADS supports little leverage (Base/Base: EUR 25.8m, gearing 17 % vs 47 % with PPA). Low/Low: equity recovers only about 10 % of its investment (nominal); -12.1 % is the economically relevant IRR root (a second root below -50 % results from the decommissioning outflow).</t>
  </si>
  <si>
    <t>BREAK-EVEN PPA PRICE (SNAPSHOT: BASE/BASE, 100 % PPA, 15 YEARS, FIXED NOMINAL, DSCR 1.30x, WACC 6 %)</t>
  </si>
  <si>
    <t>Target</t>
  </si>
  <si>
    <t>PPA price (EUR/MWh)</t>
  </si>
  <si>
    <t>Project IRR</t>
  </si>
  <si>
    <t>Equity IRR</t>
  </si>
  <si>
    <t>Gearing</t>
  </si>
  <si>
    <t>Binding debt constraint</t>
  </si>
  <si>
    <t>Project NPV = 0</t>
  </si>
  <si>
    <t>DSCR 1.30x</t>
  </si>
  <si>
    <t>Equity IRR = target (10 %)</t>
  </si>
  <si>
    <t>Gearing cap 75 %</t>
  </si>
  <si>
    <t>Snapshot values: solved by iteration on Inputs!B40 (Goal Seek equivalent) with full model recalculation incl. DSCR debt re-sizing; tolerance 0.01 EUR/MWh. A live formula would only be approximate because NPV is not linear in the PPA price (tax losses, gearing cap). Base case PPA price 50 EUR/MWh: gap about 20-24 EUR/MWh. Reconciliation with the OX2 back-calculation (about 62-67 EUR/MWh): see Sources &amp; Checks #9; method and iterations: #14. Reproducible in Excel desktop via Goal Seek (Outputs!I6 -&gt; 0 or E6 -&gt; 10 %, by changing Inputs!B40).</t>
  </si>
  <si>
    <t>Real project IRR (selected scenario)</t>
  </si>
  <si>
    <t>Real equity IRR (selected scenario)</t>
  </si>
  <si>
    <t>Active scenario</t>
  </si>
  <si>
    <t>ANNUAL CASH FLOW</t>
  </si>
  <si>
    <t>Project FCF</t>
  </si>
  <si>
    <t>BESS (STANDALONE, CO-LOCATED, EQUITY-FUNDED)</t>
  </si>
  <si>
    <t>Battery at the wind farm site evaluated as a separate investment: grid-charged, merchant, 100 % equity, own cash flows and returns. Not part of the wind SPV cash flows, debt sizing or Outputs (Inputs B24/B47 stay 0). Inputs in real 2026 EUR, cash flows nominal (inflation Inputs!B63). Physical synergies with the wind farm (shared connection, charging curtailed wind, PPA shaping) are not modelled.</t>
  </si>
  <si>
    <t>Power capacity</t>
  </si>
  <si>
    <t>Own assumption</t>
  </si>
  <si>
    <t>Energy capacity</t>
  </si>
  <si>
    <t>Project brief; 2-hour duration in line with Nordic practice (RaboResearch, "Backup power for Europe - part 8", Jul 2026: 1-2 h systems expected to dominate).</t>
  </si>
  <si>
    <t>Revenue scenario</t>
  </si>
  <si>
    <t>Switch Low / Base / High for the gross revenue rows below.</t>
  </si>
  <si>
    <t>Gross revenue Low</t>
  </si>
  <si>
    <t>Strong further saturation: Fingrid storage connection agreements could raise capacity to about 4 GW (Fingrid half-year report Jan-Jun 2026); installed about 1.5 GW (Solarplaza, Jul 2026). Real 2026 EUR, gross.</t>
  </si>
  <si>
    <t>Gross revenue Base</t>
  </si>
  <si>
    <t>Clean Horizon Storage Index Finland, 2-hour BESS, June 2026: 89 kEUR/MW/yr gross (average-MW methodology since Jan 2026; 85 % RTE, 1.5 cycles/day; excl. grid fees, taxes and SOC costs). Base about 25 % below as lifetime average under further saturation (own assumption). cleanhorizon.com, accessed 2 Oct 2026.</t>
  </si>
  <si>
    <t>Gross revenue High</t>
  </si>
  <si>
    <t>Clean Horizon Storage Index Finland, June 2026 level held flat in real terms.</t>
  </si>
  <si>
    <t>Selected gross revenue</t>
  </si>
  <si>
    <t>Formula: row selected in B8.</t>
  </si>
  <si>
    <t>Energy trading share of revenue</t>
  </si>
  <si>
    <t>% of gross revenue</t>
  </si>
  <si>
    <t>Clean Horizon Storage Index, Feb 2026: energy trading about 80 % of total revenues of a 2-hour BESS in Finland. Used for the revenue split only.</t>
  </si>
  <si>
    <t>Cycles</t>
  </si>
  <si>
    <t>Clean Horizon index reference: 1.5 cycles/day. Degradation not modelled (own simplification).</t>
  </si>
  <si>
    <t>Round-trip efficiency</t>
  </si>
  <si>
    <t>Clean Horizon index methodology (85 % at grid connection point). Drives grid energy fees only.</t>
  </si>
  <si>
    <t>CAPEX before co-location saving</t>
  </si>
  <si>
    <t>Modo Energy, 2026 Capex Survey (9 Sep 2026): global median total capex of 2-hour projects USD 325k/MWh; converted at EUR/USD 1.1308 (2025 average) = about 287 EUR/kWh (own calculation). Share of grid connection not disclosed.</t>
  </si>
  <si>
    <t>Co-location CAPEX saving</t>
  </si>
  <si>
    <t>% of CAPEX</t>
  </si>
  <si>
    <t>Base 0 (conservative). A shared substation and connection with the wind farm could lower CAPEX; Modo notes grid connection costs explain much of the capex difference between markets. Sensitivity 10 % (own assumption).</t>
  </si>
  <si>
    <t>O&amp;M and insurance</t>
  </si>
  <si>
    <t>% of CAPEX per year</t>
  </si>
  <si>
    <t>Own assumption; no Nordic benchmark found.</t>
  </si>
  <si>
    <t>to verify</t>
  </si>
  <si>
    <t>Optimiser / route-to-market fee</t>
  </si>
  <si>
    <t>Own assumption; revenue-share terms not checked.</t>
  </si>
  <si>
    <t>Fingrid capacity fee (input + output)</t>
  </si>
  <si>
    <t>Fingrid main grid service fees 2026: energy storages 94.75 EUR/MW per month each for grid input and grid output = 2 x 1,137 EUR/MW/yr (fingrid.fi, accessed 2 Oct 2026).</t>
  </si>
  <si>
    <t>Fingrid energy fee, charging</t>
  </si>
  <si>
    <t>€/MWh charged</t>
  </si>
  <si>
    <t>Fingrid 2026: main grid output fee 1.07 EUR/MWh.</t>
  </si>
  <si>
    <t>Fingrid energy fee, discharging</t>
  </si>
  <si>
    <t>Fingrid 2026: main grid input fee 0.71 EUR/MWh.</t>
  </si>
  <si>
    <t>Operating life</t>
  </si>
  <si>
    <t>Link to Inputs B51 (project brief, about 15 years). One battery life evaluated, no replacement.</t>
  </si>
  <si>
    <t>Finnish machinery and equipment, max. 25 % declining balance (to verify for BESS); remaining book value written off in the last operating year (own simplification).</t>
  </si>
  <si>
    <t>Discount rate (nominal)</t>
  </si>
  <si>
    <t>Merchant WACC of the wind model (Inputs G38). Pure equity funding would justify a higher rate; 7 % kept for comparability (own assumption).</t>
  </si>
  <si>
    <t>COD</t>
  </si>
  <si>
    <t>Link: same COD as the wind farm; CAPEX in the year before COD.</t>
  </si>
  <si>
    <t>Link to Inputs B63.</t>
  </si>
  <si>
    <t>Link to Inputs B29.</t>
  </si>
  <si>
    <t>Initial CAPEX (real 2026 EUR)</t>
  </si>
  <si>
    <t>Formula: CAPEX x energy capacity x (1 - co-location saving).</t>
  </si>
  <si>
    <t>RESULTS (SELECTED SCENARIO, NOMINAL)</t>
  </si>
  <si>
    <t>Initial CAPEX (nominal)</t>
  </si>
  <si>
    <t>NPV at discount rate (B25)</t>
  </si>
  <si>
    <t>IRR after tax (nominal)</t>
  </si>
  <si>
    <t>IRR after tax (real)</t>
  </si>
  <si>
    <t>Payback year (undiscounted, nominal incl. inflation; ignores cost of capital)</t>
  </si>
  <si>
    <t>Average annual EBITDA (operating years)</t>
  </si>
  <si>
    <t>Discounted payback year (at discount rate B25)</t>
  </si>
  <si>
    <t>SCENARIO SNAPSHOT (EACH ROW A FULL RUN)</t>
  </si>
  <si>
    <t>Case</t>
  </si>
  <si>
    <t>Gross revenue (€/MW/yr)</t>
  </si>
  <si>
    <t>NPV at 7 % (€)</t>
  </si>
  <si>
    <t>IRR nominal</t>
  </si>
  <si>
    <t>Payback year</t>
  </si>
  <si>
    <t>not within life</t>
  </si>
  <si>
    <t>Base + co-location saving 10 %</t>
  </si>
  <si>
    <t>Break-even (NPV = 0 at 7 %)</t>
  </si>
  <si>
    <t>Snapshot values: each row is a full recalculation with B8 (and B17 or B10) set as stated; other inputs as above. Break-even: gross revenue at which NPV = 0 at 7 %, solved by iteration on B10 (tolerance 50 EUR/MW/yr). Today's level (89 kEUR/MW/yr, Clean Horizon June 2026) clears the hurdle; a saturation-driven decline of more than about 13 % does not.</t>
  </si>
  <si>
    <t>CAPEX SAVING x GROSS REVENUE (SNAPSHOT, EACH CELL A FULL RUN)</t>
  </si>
  <si>
    <t>Revenue Low 45 kEUR/MW/yr</t>
  </si>
  <si>
    <t>Revenue Base 65 kEUR/MW/yr</t>
  </si>
  <si>
    <t>Revenue High 89 kEUR/MW/yr</t>
  </si>
  <si>
    <t>Break-even revenue (€/MW/yr, NPV = 0)</t>
  </si>
  <si>
    <t>CAPEX saving 0 %</t>
  </si>
  <si>
    <t>CAPEX saving 10 %</t>
  </si>
  <si>
    <t>CAPEX saving 20 %</t>
  </si>
  <si>
    <t>Snapshot values from runs with B8/B10 (revenue) and B17 (CAPEX saving) set as stated, other inputs as above. CAPEX savings of 10 % and 20 % are own assumptions (share of grid connection in BESS CAPEX not verified). Rule of thumb: each 10 % CAPEX saving lowers the break-even revenue by about 7.3 kEUR/MW/yr.</t>
  </si>
  <si>
    <t>ANNUAL CASH FLOW (NOMINAL EUR)</t>
  </si>
  <si>
    <t>Operating flag</t>
  </si>
  <si>
    <t>Inflation index</t>
  </si>
  <si>
    <t>Gross revenue</t>
  </si>
  <si>
    <t>of which energy trading</t>
  </si>
  <si>
    <t>of which ancillary</t>
  </si>
  <si>
    <t>Optimiser fee</t>
  </si>
  <si>
    <t>Grid fees (Fingrid)</t>
  </si>
  <si>
    <t>Tax depreciation</t>
  </si>
  <si>
    <t>Tax book value (closing)</t>
  </si>
  <si>
    <t>Tax losses carried (closing)</t>
  </si>
  <si>
    <t>Free cash flow</t>
  </si>
  <si>
    <t>Cumulative FCF</t>
  </si>
  <si>
    <t>Cumulative discounted FCF</t>
  </si>
  <si>
    <t>CHECKS</t>
  </si>
  <si>
    <t>MODEL INTEGRITY</t>
  </si>
  <si>
    <t>Result</t>
  </si>
  <si>
    <t>Overall status</t>
  </si>
  <si>
    <t>Missing core CAPEX input</t>
  </si>
  <si>
    <t>CAPEX should be sourced before valuation.</t>
  </si>
  <si>
    <t>Missing fixed OPEX input</t>
  </si>
  <si>
    <t>OPEX should be sourced before valuation.</t>
  </si>
  <si>
    <t>Missing market prices (selected scenario)</t>
  </si>
  <si>
    <t>Price anchors in Inputs 68 and 70-78 (start value, 2030/2040/2050 for Low/Base/High). The 2028 anchor (row 69) is optional.</t>
  </si>
  <si>
    <t>Missing capture rates</t>
  </si>
  <si>
    <t>Low/Base/High capture rates in Inputs 79-81.</t>
  </si>
  <si>
    <t>Tax rate populated</t>
  </si>
  <si>
    <t>Verify Finnish tax rate.</t>
  </si>
  <si>
    <t>Debt schedule repaid</t>
  </si>
  <si>
    <t>DSCR-sculpted schedule; closing debt at the end of the horizon must be zero (INFO while no debt is sized).</t>
  </si>
  <si>
    <t>PPA indifference price</t>
  </si>
  <si>
    <t>PV-based price (excl. debt-sizing effect). Break-even incl. debt effect: Outputs rows 28-32 (snapshot).</t>
  </si>
  <si>
    <t>Timeline fits model horizon</t>
  </si>
  <si>
    <t>COD &gt;= 2027 and last operating year &lt;= 2058 (horizon 2026-2058).</t>
  </si>
  <si>
    <t>Revenue volumes reconcile</t>
  </si>
  <si>
    <t>Revenue-tab MWh must equal Production-tab net exported MWh.</t>
  </si>
  <si>
    <t>Sources = uses</t>
  </si>
  <si>
    <t>Debt + equity must equal initial CAPEX.</t>
  </si>
  <si>
    <t>DSCR at or above target</t>
  </si>
  <si>
    <t>Minimum DSCR vs target (INFO while no debt is sized).</t>
  </si>
  <si>
    <t>No negative amortisation</t>
  </si>
  <si>
    <t>Sculpted principal must not be negative (debt service must cover interest).</t>
  </si>
  <si>
    <t>Debt tenor within asset life</t>
  </si>
  <si>
    <t>Debt repayment window must not exceed the economic life.</t>
  </si>
  <si>
    <t>Capture rates plausible</t>
  </si>
  <si>
    <t>Capture rates are fractions (0.65 = 65 %), range 0 to 1.5.</t>
  </si>
  <si>
    <t>PPA price entered</t>
  </si>
  <si>
    <t>Required when PPA mode = Yes.</t>
  </si>
  <si>
    <t>BESS inputs consistent</t>
  </si>
  <si>
    <t>If BESS MWh &gt; 0, BESS power (MW) and BESS CAPEX are required.</t>
  </si>
  <si>
    <t>Tax losses used by end of horizon</t>
  </si>
  <si>
    <t>Unused tax losses remain at the end of the horizon; loss expiry is not modelled.</t>
  </si>
  <si>
    <t>Inputs marked 'to verify'</t>
  </si>
  <si>
    <t>Equity IRR vs target</t>
  </si>
  <si>
    <t>Result flag, not an integrity check: equity IRR compared with the target equity IRR.</t>
  </si>
  <si>
    <t>Inflation assumption entered</t>
  </si>
  <si>
    <t>Real 2026 inputs are indexed with this rate; WACC and debt rate must be nominal.</t>
  </si>
  <si>
    <t>Snapshot PPA grid current</t>
  </si>
  <si>
    <t>Compares live NPV with Outputs H17 (Base/Base, 100 % PPA at 50 EUR/MWh, DSCR 1.30, WACC 6 %). STALE: an input changed since the snapshot; re-run Outputs rows 14-32. N/A in other settings.</t>
  </si>
  <si>
    <t>Snapshot merchant grid current</t>
  </si>
  <si>
    <t>Compares live NPV with Outputs H24 (Base/Base merchant, DSCR 1.60, WACC 7 %). STALE: re-run the merchant grid. N/A in other settings.</t>
  </si>
  <si>
    <t>Snapshot BESS current</t>
  </si>
  <si>
    <t>Compares live BESS NPV with BESS C42 (Base, no CAPEX saving). STALE: re-run BESS rows 41-56. N/A in other settings.</t>
  </si>
  <si>
    <t>SOURCE / ASSUMPTION STATUS LEGEND</t>
  </si>
  <si>
    <t>Verified / source-based</t>
  </si>
  <si>
    <t>Own assumption / to verify</t>
  </si>
  <si>
    <t>User input</t>
  </si>
  <si>
    <t>Formula</t>
  </si>
  <si>
    <t>SOURCES &amp; CHECKS</t>
  </si>
  <si>
    <t>Validation of inputs and results against independent sources and hand calculations, plus a log of how AI was used. Status categories as in Inputs column E: verified / source-based / own assumption / to verify. Model v1.8, Oct 2026.</t>
  </si>
  <si>
    <t>A. VALIDATION CHECKS</t>
  </si>
  <si>
    <t>#</t>
  </si>
  <si>
    <t>Comparison / method</t>
  </si>
  <si>
    <t>Conclusion for the model</t>
  </si>
  <si>
    <t>Source(s)</t>
  </si>
  <si>
    <t>Wind data: Fingrid vs ENTSO-E</t>
  </si>
  <si>
    <t>Finnish wind generation from Fingrid open data (dataset 75) compared with ENTSO-E Actual Generation per Production Type (FI, wind onshore), 15-minute and hourly, 2023 to Sep 2026: deviation, correlation, share of identical values, runs of repeated values.</t>
  </si>
  <si>
    <t>2024-2026: deviation about 0.5-1.6 %, correlation &gt; 0.999, no break at 21 Feb 2024. 2023: Fingrid shows frozen values Jun-Sep (up to 65 % of hours in July; ENTSO-E 0-0.4 %). Impact: capture rate 2023 72.3 % vs 71.6 %, capacity factor 2023 26.9 % vs 27.4 %; 2024-2026 unchanged.</t>
  </si>
  <si>
    <t>ENTSO-E used as primary wind source (no missing hours or quarter-hours; Fingrid series had 358 gaps), Fingrid as cross-check. Base capture rate (2025 and last 12 months) not affected. The sources are not independent: ENTSO-E data for Finland are reported by Fingrid as TSO (identical values 58 % in 2025, 72 % in 2026), so the check detects transfer errors but not errors in Fingrid's own measurement.</t>
  </si>
  <si>
    <t>Fingrid open data, dataset 75 (data.fingrid.fi); ENTSO-E Transparency Platform, Actual Generation per Production Type (transparency.entsoe.eu); both accessed 1 Oct 2026. Own Python analysis.</t>
  </si>
  <si>
    <t>Capture rate vs KYOS</t>
  </si>
  <si>
    <t>KYOS fundamental model, Finland 2027-2036: onshore wind capture price divided by baseload price, compared with model base capture rate. KYOS baseload compared with the model base price path (Prices B, average 2027-2036).</t>
  </si>
  <si>
    <t>36.1 / 60.0 EUR/MWh = implied capture rate 60.2 % vs model base 60 % (own calculation). KYOS baseload about 6-12 EUR/MWh above the model base path (48.2 EUR/MWh real 2026, 53.6 nominal; own calculation); range depends on the KYOS price basis, which is not stated.</t>
  </si>
  <si>
    <t>Base capture rate consistent with an independent fundamental model. Model base price path is conservative relative to KYOS</t>
  </si>
  <si>
    <t>KYOS PPA Insights No. 19 (Jun 2026), Finland, 2027-2036; model Prices B8:B40</t>
  </si>
  <si>
    <t>Futures vs Lampela (2030)</t>
  </si>
  <si>
    <t>EEX Cal-30 FI base future converted to real 2026 EUR vs Lampela (2023) Base 2030 (model v27, scenario x1,2).</t>
  </si>
  <si>
    <t>48.67 vs 39.0 EUR/MWh: futures about 10 EUR/MWh higher.</t>
  </si>
  <si>
    <t>Near-term path uses futures (market view), Lampela only from 2040; the thesis likely understates today's price level (see Inputs A83).</t>
  </si>
  <si>
    <t>EEX market data, trading day 1 Oct 2026; Lampela, S. (2023), Tampere University, Table 5.2.</t>
  </si>
  <si>
    <t>LCOE bridge to IRENA</t>
  </si>
  <si>
    <t>Model LCOE bridged to IRENA (2026) Finland onshore wind 2025 by replacing model inputs step by step with IRENA values (real annuity formula, see #5). EUR/USD 1.1308 (2025 average)</t>
  </si>
  <si>
    <t>Model 47.9 -&gt; TIC 1,480 USD/kW = 1,309 EUR/kW: 43.6 -&gt; capacity factor 34 %: 42.7 -&gt; real WACC 3.0 %: 40.0 EUR/MWh vs IRENA 44 USD/MWh = 38.9 EUR/MWh; residual 1.1 EUR/MWh (own calculation)</t>
  </si>
  <si>
    <t>Difference fully explained by assumptions, no model error. Model is about 9 EUR/MWh above IRENA mainly due to higher CAPEX (2026 FID level vs 2025 commissioning) and higher WACC: conservative. Residual consistent with implied IRENA O&amp;M of about 41 EUR/kW/yr (model 44), price year (2025 USD vs real 2026 EUR) and lifetime. IRENA WACC for Finland and economic life not stated in the report; 3 % real (IRENA ch. 1, fully contracted projects in mature markets) and 25 years assumed (to verify)</t>
  </si>
  <si>
    <t>IRENA (2026), Renewable power generation costs in 2025, Fig. 2.4 (p. 47), Fig. 2.8 (p. 53), Fig. 2.11 (p. 57), ch. 1 (p. 29); EUR/USD 2025 average 1.1308 (poundsterlinglive.com, accessed 2 Oct 2026).</t>
  </si>
  <si>
    <t>LCOE hand calculation</t>
  </si>
  <si>
    <t>Real annuity: CAPEX 1,500 EUR/kW x CRF (25 years, real WACC (1.06/1.02 - 1) = 3.92 %) = 95.2 EUR/kW/yr, plus OPEX and lease 44 EUR/kW/yr; divided by 8,760 h x 35 % x (1 - 5 %) = 2.91 MWh/kW/yr. Decommissioning and construction-year indexation ignored.</t>
  </si>
  <si>
    <t>About 47.8 vs model 47.9 EUR/MWh (Outputs E10).</t>
  </si>
  <si>
    <t>LCOE formula in Outputs E10 confirmed. Earlier hand check (about 54 EUR/MWh) related to a previous input set and is superseded.</t>
  </si>
  <si>
    <t>Own calculation from Inputs B8, B10, B11, B14, B19, B21, B38, B63.</t>
  </si>
  <si>
    <t>Back-calculation OX2</t>
  </si>
  <si>
    <t>Model run with OX2 parameters (CAPEX about 1.48 EUR m/MW, capacity factor 38.7 %) to find the PPA price that meets the target return.</t>
  </si>
  <si>
    <t>Required PPA price about 62-67 EUR/MWh.</t>
  </si>
  <si>
    <t>Indicates the price level of the hyperscaler PPAs behind recent Finnish FIDs. Own derivation, actual PPA prices not published.</t>
  </si>
  <si>
    <t>OX2 press releases 1 Apr 2025 and 16 Dec 2025 (see Inputs D10, D14, D43); own model runs.</t>
  </si>
  <si>
    <t>WACC via CAPM</t>
  </si>
  <si>
    <t>CAPM cost of equity plus after-tax cost of debt at 47 % gearing.</t>
  </si>
  <si>
    <t>About 5.9 % nominal after tax.</t>
  </si>
  <si>
    <t>6 % used for the PPA case, 7 % for merchant. Cross-check IRENA (2026): about 3 % real for contracted projects.</t>
  </si>
  <si>
    <t>Trading Economics (FI 10Y, 18 Aug 2026); Damodaran (ERP and unlevered beta, Jan 2026); see Inputs D38.</t>
  </si>
  <si>
    <t>Curtailment vs contract structure</t>
  </si>
  <si>
    <t>Value of 5 % curtailment at the PPA price compared with the price difference between PPAs with and without settlement in negative-price hours.</t>
  </si>
  <si>
    <t>5 % x 50 EUR/MWh = about 2.5 EUR/MWh vs at least about 3 EUR/MWh (Modo) and 2-5 % of the PPA price = about 1-2.5 EUR/MWh at 50 EUR/MWh (Ecohz; own conversion).</t>
  </si>
  <si>
    <t>5 % curtailment is a reasonable proxy for a PPA without settlement in negative-price hours; vary curtailment only together with a lower PPA price. Both references are Spanish solar PPAs; the Nordic effect may be smaller (hydro flexibility, Volt Power Analytics via Ecohz), although Finland had the most negative-price hours in the EU in 2023 and 2024 (Montel via Ecohz). Proxy only</t>
  </si>
  <si>
    <t>Modo Energy, 'PPAs in a time of negative prices: Lessons from Spain', 22 Oct 2025, https://modoenergy.com/research/en/ppa-contracts-spain-negative-prices-settlement-zero-floor-remuneration; Ecohz, 'Negative electricity prices: what is their impact on PPAs?', 29 Jan 2025 (updated 25 Nov 2025), https://www.ecohz.com/blog/negative-electricity-prices-impact-on-ppa; both accessed 2 Oct 2026.</t>
  </si>
  <si>
    <t>Break-even PPA price vs OX2</t>
  </si>
  <si>
    <t>Break-even PPA price of the model (Outputs rows 28-32) compared with the OX2 back-calculation (#6).</t>
  </si>
  <si>
    <t>Model: 70.35 (NPV = 0) and 73.94 EUR/MWh (equity IRR 10 %) vs OX2 about 62-67 EUR/MWh.</t>
  </si>
  <si>
    <t>Gap explained by higher CAPEX (1,500 vs about 1,480 EUR/kW), lower capacity factor (35 % vs 38.7 %) and the scale of a 472 MW portfolio. Deck wording: 100 MW greenfield needs about 70-74 EUR/MWh.</t>
  </si>
  <si>
    <t>Own model runs (v1.5 Base/Base, 2 Oct 2026); #6.</t>
  </si>
  <si>
    <t>Recalculation reproduces Excel</t>
  </si>
  <si>
    <t>Full recalculation of the workbook in LibreOffice compared with the values cached by Excel.</t>
  </si>
  <si>
    <t>Identical (Base/Base NPV EUR -46,455,203; equity IRR -0.31 %).</t>
  </si>
  <si>
    <t>Scripted scenario runs give the same results as Excel.</t>
  </si>
  <si>
    <t>Own check, v1.5 file of 2 Oct 2026.</t>
  </si>
  <si>
    <t>IRR cross-check</t>
  </si>
  <si>
    <t>Excel IRR() compared with an independent root search on the same cash flows (Python, Brent method).</t>
  </si>
  <si>
    <t>Identical in all cases where Excel converged; without a start value Excel returned no IRR in 7 of 18 scenario runs.</t>
  </si>
  <si>
    <t>Start value -5 % added to Outputs A6/E6 (Changelog #21); all 18 runs now converge in Excel. Merchant Low/Low has two roots; -12.1 % is the relevant one.</t>
  </si>
  <si>
    <t>Own check, 2 Oct 2026.</t>
  </si>
  <si>
    <t>Plausibility of break-even</t>
  </si>
  <si>
    <t>At NPV = 0 the project IRR must equal the WACC; equity IRR compared with the CAPM cost of equity.</t>
  </si>
  <si>
    <t>Project IRR 6.0 % = WACC; equity IRR 7.5 % vs cost of equity about 7.0 %. At 10 % equity IRR the gearing cap binds (min. DSCR 1.33x).</t>
  </si>
  <si>
    <t>Break-even results are internally consistent. Above a project IRR of 5.75 % (debt rate) leverage becomes positive.</t>
  </si>
  <si>
    <t>Own check; Inputs D38, D39.</t>
  </si>
  <si>
    <t>Integrity of scenario runs</t>
  </si>
  <si>
    <t>All 18 snapshot runs (PPA and merchant grids) checked for formula errors and model checks.</t>
  </si>
  <si>
    <t>0 formula errors; no FAIL in the Checks tab in any run.</t>
  </si>
  <si>
    <t>Snapshot grids in Outputs rows 14-26 are usable.</t>
  </si>
  <si>
    <t>Break-even PPA price: method</t>
  </si>
  <si>
    <t>Goal Seek equivalent outside Excel: Inputs!B40 set by script, full workbook recalculation in LibreOffice (incl. tax, DSCR debt sizing and gearing cap), Brent root search on Outputs!I6 = 0 and on equity IRR = 10 % (IRR of Cashflow!J5:J37), tolerance 0.01 EUR/MWh. NPV iterations: 50.00 / 90.00 / 70.74 / 70.35 EUR/MWh; equity IRR iterations: 66.87 / 78.19 / 73.72 / 73.94 EUR/MWh.</t>
  </si>
  <si>
    <t>70.35 EUR/MWh (NPV EUR +7k) and 73.94 EUR/MWh (equity IRR 10.00 %). Linear approximation formula (after tax, PV of PPA volume) gives 71.74 EUR/MWh (+1.4).</t>
  </si>
  <si>
    <t>Snapshot in Outputs rows 28-32 is exact within tolerance. Linear formula not used because tax losses and the gearing cap make NPV non-linear in the PPA price. Reproducible in Excel desktop via Goal Seek (not available in Excel for the web).</t>
  </si>
  <si>
    <t>Own calculation, 2 Oct 2026 (Python/openpyxl, LibreOffice); model v1.5 Base/Base. Goal Seek availability: Microsoft Support, "Use Goal Seek to find the result you want by adjusting an input value" (accessed 2 Oct 2026).</t>
  </si>
  <si>
    <t>Tornado and sensitivities: reproduction</t>
  </si>
  <si>
    <t>Single-lever runs around the Base case (bands from Inputs notes) and selected sensitivities, full recalculation in LibreOffice on v1.8.1.1.</t>
  </si>
  <si>
    <t>Base case reproduced to the euro; all tornado spreads reproduced (PPA price 132.6, CAPEX 35.7, OPEX 35.1, capacity factor 25.1, WACC 20.3, PPA volume 15.3, curtailment 12.4, debt rate 5.5 EUR m NPV). PPA tenor 20 years +5.0 EUR m; tax rate 18 % +0.2 EUR m.</t>
  </si>
  <si>
    <t>Tornado values usable for deck and memo; not stored in the model (chart built outside Excel)</t>
  </si>
  <si>
    <t>Own model runs, 4 Oct 2026</t>
  </si>
  <si>
    <t>Break-even PPA price vs CAPEX and capacity factor</t>
  </si>
  <si>
    <t>12 points (CAPEX 1,250–1,650 EUR/kW × CF 35 % / 38.7 %), secant iteration on Inputs!B40 to NPV = 0 with full recalculation</t>
  </si>
  <si>
    <t>CF 35 %: 60.8–76.1 EUR/MWh; CF 38.7 %: 53.8–67.7 EUR/MWh; OX2-type about 62</t>
  </si>
  <si>
    <t>−100 EUR/kW CAPEX ≈ −3.5 to −3.8 EUR/MWh; CF +3.7 pp ≈ −8 EUR/MWh</t>
  </si>
  <si>
    <t>B. AI USE AND VALIDATION</t>
  </si>
  <si>
    <t>Area</t>
  </si>
  <si>
    <t>How AI was used (Claude, Anthropic)</t>
  </si>
  <si>
    <t>How the output was validated</t>
  </si>
  <si>
    <t>Responsibility</t>
  </si>
  <si>
    <t>a</t>
  </si>
  <si>
    <t>Model structure and formulas</t>
  </si>
  <si>
    <t>Review of the template, proposals and implementation of structural corrections in agreed versions (see Changelog).</t>
  </si>
  <si>
    <t>Integrity checks (Checks tab), full recalculation with 0 formula errors, hand calculation of LCOE (#5), recalculation test (#10).</t>
  </si>
  <si>
    <t>Each structural change approved by the author before a new version was built.</t>
  </si>
  <si>
    <t>b</t>
  </si>
  <si>
    <t>Source research</t>
  </si>
  <si>
    <t>Web search for market data, regulation, cost and financing references.</t>
  </si>
  <si>
    <t>Values entered by the author after reading the source; source and access date in Inputs D, status in Inputs E; unconfirmed figures marked own assumption or to verify.</t>
  </si>
  <si>
    <t>Author.</t>
  </si>
  <si>
    <t>c</t>
  </si>
  <si>
    <t>Data analysis (prices, wind)</t>
  </si>
  <si>
    <t>Mainly AI coded python scripts</t>
  </si>
  <si>
    <t>Checked if python scripts perform intended calculations, by spotchecking numbers manually where possible and checking the code. Cross-check of data sources (#1) and against KYOS (#2).</t>
  </si>
  <si>
    <t>Claude for code, Author for input data and results</t>
  </si>
  <si>
    <t>d</t>
  </si>
  <si>
    <t>Scenario runs and break-even</t>
  </si>
  <si>
    <t>Scripted model runs (Python/openpyxl with LibreOffice recalculation): 18 scenario snapshots and the break-even iteration.</t>
  </si>
  <si>
    <t>Reproduction of Excel results (#10), independent IRR check (#11), plausibility (#12), integrity (#13). PPA grid entered by the author; merchant grid and break-even written in v1.6 and recalculated live in Excel.BESS snapshots and CAPEX-saving grid (v1.7/v1.8) cross-checked against an independent Python replica (identical to the euro)</t>
  </si>
  <si>
    <t>Author reviews all figures before use in deck and memo.</t>
  </si>
  <si>
    <t>e</t>
  </si>
  <si>
    <t>Text in the model</t>
  </si>
  <si>
    <t>Drafting of notes, check descriptions and changelog entries in English.</t>
  </si>
  <si>
    <t>Every figure in the notes traced to a cell or a cited source.</t>
  </si>
  <si>
    <t>CHANGELOG</t>
  </si>
  <si>
    <t>Tab / range</t>
  </si>
  <si>
    <t>Issue found in v1.0 / change request</t>
  </si>
  <si>
    <t>Change</t>
  </si>
  <si>
    <t>Revenue!B5:B34</t>
  </si>
  <si>
    <t>Generation linked to Production rows offset by 3 years (e.g. 2027 pulled 2030); last 3 years had 0 MWh.</t>
  </si>
  <si>
    <t>Rows aligned one-to-one (Revenue row r = Production row r).</t>
  </si>
  <si>
    <t>Taxes!B</t>
  </si>
  <si>
    <t>'EBITDA' column pulled Cashflow revenue (column B).</t>
  </si>
  <si>
    <t>Now links to Cashflow EBITDA (column D).</t>
  </si>
  <si>
    <t>Cashflow!F, I</t>
  </si>
  <si>
    <t>CFADS was already after tax, then tax was deducted again in Project FCF; Project FCF also deducted debt service.</t>
  </si>
  <si>
    <t>Project FCF = EBITDA - unlevered tax - CAPEX. Equity FCF = EBITDA - tax - CAPEX - debt service + drawdown.</t>
  </si>
  <si>
    <t>Outputs!G26:G55</t>
  </si>
  <si>
    <t>DSCR chart column contained invalid references and showed name errors.</t>
  </si>
  <si>
    <t>Linked to Financing DSCR column, one row per year.</t>
  </si>
  <si>
    <t>Outputs!I10</t>
  </si>
  <si>
    <t>PPA indifference price was a hard NA() placeholder that showed a not-available error.</t>
  </si>
  <si>
    <t>PV-based indifference price (excl. debt-sizing effect); 'n/a' while prices are missing.</t>
  </si>
  <si>
    <t>All time-series tabs</t>
  </si>
  <si>
    <t>No construction year, CAPEX and depreciation fixed at 0, lifetime and COD not used.</t>
  </si>
  <si>
    <t>Horizon 2026-2056 (31 rows). Construction year = COD - 1; operating flags driven by COD and lifetime; CAPEX, replacement and decommissioning in Cashflow.</t>
  </si>
  <si>
    <t>Prices, Inputs</t>
  </si>
  <si>
    <t>PPA was a Yes/No switch only.</t>
  </si>
  <si>
    <t>PPA volume share and tenor added (Inputs 43-44); blended revenue price.</t>
  </si>
  <si>
    <t>Production, Revenue, Inputs</t>
  </si>
  <si>
    <t>BESS had MWh only, no power, revenue or lifetime.</t>
  </si>
  <si>
    <t>Simplified BESS stack (arbitrage margin, reserve revenue, OPEX, life, replacement); grid-charged, memo volumes.</t>
  </si>
  <si>
    <t>Debt schedule was a placeholder with zero debt.</t>
  </si>
  <si>
    <t>DSCR-sculpted sizing on CFADS with unlevered tax (non-circular), gearing cap, schedule, DSCR.</t>
  </si>
  <si>
    <t>Interest fully deductible; depreciation 0.</t>
  </si>
  <si>
    <t>Declining-balance depreciation, interest deduction cap (25 % of EBITDA above EUR 500k), unlevered tax block.</t>
  </si>
  <si>
    <t>Production!D</t>
  </si>
  <si>
    <t>8760 hours in every year.</t>
  </si>
  <si>
    <t>Leap years use 8784 hours.</t>
  </si>
  <si>
    <t>LCOE was undiscounted; DSCR showed 0.0x without debt; IRR cells unformatted.</t>
  </si>
  <si>
    <t>Discounted wind-only LCOE; 'n/a' without debt; percent formats.</t>
  </si>
  <si>
    <t>Only input-presence checks.</t>
  </si>
  <si>
    <t>Added integrity checks (timeline, volumes, sources = uses, DSCR, amortisation, tenor, PPA, BESS, tax losses, open items).</t>
  </si>
  <si>
    <t>Inputs 63-64, Prices N:O</t>
  </si>
  <si>
    <t>Prices, WACC and debt rate had no common price basis (nominal rates, unindexed prices).</t>
  </si>
  <si>
    <t>Inflation input and index (2026 = 1). Market prices and capture-based revenue entered in real 2026 EUR and indexed to nominal; PPA price fixed nominal or indexed (switch).</t>
  </si>
  <si>
    <t>Revenue, Cashflow, Financing</t>
  </si>
  <si>
    <t>Costs were not indexed; CAPEX in construction year had no price basis.</t>
  </si>
  <si>
    <t>OPEX, lease, variable OPEX, BESS revenue, replacement CAPEX and decommissioning indexed. Initial CAPEX indexed to the construction year.</t>
  </si>
  <si>
    <t>LCOE and IRR reported on one basis only.</t>
  </si>
  <si>
    <t>LCOE in real 2026 EUR/MWh; nominal IRR and NPV plus real (deflated) IRR in Outputs rows 22-23.</t>
  </si>
  <si>
    <t>Cover B16:B17, Prices P:R, Outputs 14-23</t>
  </si>
  <si>
    <t>Single scenario switch (capture only); real IRR lines sat inside the scenario table.</t>
  </si>
  <si>
    <t>Two independent switches: capture-rate scenario and market price scenario (Base in column B, Low in P, High in Q). Outputs: 3x3 snapshot grids (equity IRR, project NPV) to be filled by scenario runs; real IRR lines moved below.</t>
  </si>
  <si>
    <t>All time-series tabs, Outputs, Checks</t>
  </si>
  <si>
    <t>Horizon ended in 2056; the 30-year case with COD 2028 (last year 2057) did not fit.</t>
  </si>
  <si>
    <t>Horizon extended by two years to 2058 (33 rows: 2026-2058). Summary ranges, checks, chart and notes moved with it. Input values untouched.</t>
  </si>
  <si>
    <t>Inputs 66-83, Prices B, C:E, J:K, P:Q, T6:X12, Checks B7/B8/B22, Cover B10</t>
  </si>
  <si>
    <t>Market price paths (33 years x 3) and capture rates (3 identical columns) were hard inputs in Prices without a source and status per value; the Prices status column was not counted in Checks.</t>
  </si>
  <si>
    <t>Price anchors (2026 observed, optional 2028 futures, 2030/2040/2050 per scenario from Lampela 2023) and Low/Base/High capture rates moved to Inputs with source and status. Prices interpolates linearly between anchors (T8:T12) and holds real prices flat after 2050; capture columns link to Inputs; J:K point to Inputs. Checks 7, 8 and 22 updated.</t>
  </si>
  <si>
    <t>Prices J:K</t>
  </si>
  <si>
    <t>Columns J:K only pointed to Inputs</t>
  </si>
  <si>
    <t>Deleted; all references shifted (Low N, High O, selected P, anchors R6:V12). Results unchanged.</t>
  </si>
  <si>
    <t>Outputs A6, E6</t>
  </si>
  <si>
    <t>IRR() did not converge for strongly negative returns (no result in 7 of 18 scenario runs).</t>
  </si>
  <si>
    <t>Start value -5 % added: IRR(range, -0.05). Results unchanged where the formula already converged.</t>
  </si>
  <si>
    <t>Outputs 14-19</t>
  </si>
  <si>
    <t>PPA grid title incomplete; NPV snapshot cells held text (typographic minus sign).</t>
  </si>
  <si>
    <t>Title states PPA price, DSCR and WACC; NPV values re-entered as numbers; note updated.</t>
  </si>
  <si>
    <t>Outputs 21-26</t>
  </si>
  <si>
    <t>No snapshot for the full-merchant case.</t>
  </si>
  <si>
    <t>Merchant grid added (PPA mode No, DSCR 1.60x, WACC 7 %), 9 runs.</t>
  </si>
  <si>
    <t>Outputs 28-32, I13; Checks D11</t>
  </si>
  <si>
    <t>PPA indifference price excluded the debt-sizing effect.</t>
  </si>
  <si>
    <t>Break-even PPA price snapshot added (NPV = 0 and equity IRR = 10 %), solved by iteration on Inputs!B40 with debt re-sizing.</t>
  </si>
  <si>
    <t>Outputs 33-71, chart</t>
  </si>
  <si>
    <t>Space needed for the new blocks.</t>
  </si>
  <si>
    <t>Real IRR lines and annual cash flow table moved down 13 rows; chart moved next to the table and its ranges updated. No other formulas reference the moved block.</t>
  </si>
  <si>
    <t>Sources &amp; Checks (new), Cover</t>
  </si>
  <si>
    <t>Validation and AI use not documented in the model.</t>
  </si>
  <si>
    <t>New tab with 14 validation checks and an AI-use log; added to the workbook map.</t>
  </si>
  <si>
    <t>BESS (new tab), Cover</t>
  </si>
  <si>
    <t>Integrated BESS block would mix merchant battery cash flows into the wind SPV, its debt sizing and outputs.</t>
  </si>
  <si>
    <t>Standalone BESS tab: sourced inputs, nominal cash flows with tax, NPV, IRR, payback and scenario snapshot. Wind model unchanged (Inputs B24/B47 stay 0).</t>
  </si>
  <si>
    <t>Inputs G24, G47</t>
  </si>
  <si>
    <t>No pointer to the standalone evaluation.</t>
  </si>
  <si>
    <t>Notes added.</t>
  </si>
  <si>
    <t>Sources &amp; Checks rows 7-11</t>
  </si>
  <si>
    <t>Entries of 2 Oct 2026 for #2 (KYOS) and #4 (IRENA) were partly one or two rows too low and overwrote #3, #5 and #6.</t>
  </si>
  <si>
    <t>Texts moved to rows 7 and 9; original texts of #3, #5 and #6 restored.</t>
  </si>
  <si>
    <t>BESS 48-57; annual block now 60-94</t>
  </si>
  <si>
    <t>No view of how co-location savings and revenue level interact.</t>
  </si>
  <si>
    <t>Snapshot grid CAPEX saving (0/10/20 %) x gross revenue (45/65/89 kEUR/MW/yr): NPV, IRR and break-even revenue. Annual block moved down 12 rows, result formulas re-pointed.</t>
  </si>
  <si>
    <t>BESS U, A38/B38</t>
  </si>
  <si>
    <t>Only undiscounted payback shown.</t>
  </si>
  <si>
    <t>Cumulative discounted FCF (column U) and discounted payback year added.</t>
  </si>
  <si>
    <t>Checks 25-27</t>
  </si>
  <si>
    <t>Snapshot values do not update when inputs change.</t>
  </si>
  <si>
    <t>Three consistency checks compare live results with the reference snapshot cell (ACTION if stale, INFO if the model is not in the reference setting).</t>
  </si>
  <si>
    <t>BESS A16, A36, B45/C45</t>
  </si>
  <si>
    <t>CAPEX label ambiguous; payback label incomplete; break-even row showed a rounded run (NPV -2,915).</t>
  </si>
  <si>
    <t>Labels clarified; break-even row shows the solved value 77,815 EUR/MW/yr with NPV 0.</t>
  </si>
  <si>
    <t>Open</t>
  </si>
  <si>
    <t>Not yet in the model</t>
  </si>
  <si>
    <t>Loss expiry (10 years; 25 years proposed from 2026 losses), carry-forward of disallowed interest, tax rate 18 % from 2027 (proposal of 17 Sep 2026, to verify).</t>
  </si>
  <si>
    <t>Interest during construction, fees, DSRA, tax-adjusted sculpting, refinancing.</t>
  </si>
  <si>
    <t>PPA break-even as a live calculation (currently snapshot), BESS dispatch optimisation (Phase 2), degradation.</t>
  </si>
  <si>
    <t>Tornado computed outside the model (Sources &amp; Checks #15); scenario grids done (v1.6).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</si>
</sst>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
    <numFmt numFmtId="167" formatCode="0.0000"/>
    <numFmt numFmtId="168" formatCode="\€#,##0"/>
    <numFmt numFmtId="169" formatCode="0.000"/>
    <numFmt numFmtId="170" formatCode="0.00\x"/>
    <numFmt numFmtId="171" formatCode="\€#,##0;&quot;-€&quot;#,##0"/>
    <numFmt numFmtId="172" formatCode="\€#,##0;&quot;-€&quot;#,##0;\-"/>
  </numFmts>
  <fonts count="11">
    <font>
      <sz val="11"/>
      <color theme="1"/>
      <name val="Calibri"/>
      <family val="2"/>
      <charset val="1"/>
    </font>
    <font>
      <b/>
      <sz val="24"/>
      <color rgb="FF17365D"/>
      <name val="Calibri"/>
      <charset val="1"/>
    </font>
    <font>
      <i/>
      <sz val="13"/>
      <color rgb="FF5B6573"/>
      <name val="Calibri"/>
      <charset val="1"/>
    </font>
    <font>
      <b/>
      <sz val="11"/>
      <color rgb="FF17365D"/>
      <name val="Calibri"/>
      <charset val="1"/>
    </font>
    <font>
      <b/>
      <sz val="11"/>
      <color rgb="FFFFFFFF"/>
      <name val="Calibri"/>
      <charset val="1"/>
    </font>
    <font>
      <sz val="10"/>
      <name val="Arial"/>
      <family val="2"/>
    </font>
    <font>
      <b/>
      <sz val="16"/>
      <color rgb="FFFFFFFF"/>
      <name val="Calibri"/>
      <charset val="1"/>
    </font>
    <font>
      <i/>
      <sz val="11"/>
      <color rgb="FF5B6573"/>
      <name val="Calibri"/>
      <charset val="1"/>
    </font>
    <font>
      <b/>
      <sz val="20"/>
      <color rgb="FF17365D"/>
      <name val="Calibri"/>
      <charset val="1"/>
    </font>
    <font>
      <i/>
      <sz val="9"/>
      <color rgb="FF5B6573"/>
      <name val="Calibri"/>
      <charset val="1"/>
    </font>
    <font>
      <sz val="11"/>
      <color rgb="FF008000"/>
      <name val="Calibri"/>
      <family val="2"/>
      <charset val="1"/>
    </font>
  </fonts>
  <fills count="9">
    <fill>
      <patternFill patternType="none"/>
    </fill>
    <fill>
      <patternFill patternType="gray125"/>
    </fill>
    <fill>
      <patternFill patternType="solid">
        <fgColor rgb="FFD9EAF7"/>
        <bgColor rgb="FFDDEBF7"/>
      </patternFill>
    </fill>
    <fill>
      <patternFill patternType="solid">
        <fgColor rgb="FF17365D"/>
        <bgColor rgb="FF333333"/>
      </patternFill>
    </fill>
    <fill>
      <patternFill patternType="solid">
        <fgColor rgb="FFDDEBF7"/>
        <bgColor rgb="FFD9EAF7"/>
      </patternFill>
    </fill>
    <fill>
      <patternFill patternType="solid">
        <fgColor rgb="FFFFF2CC"/>
        <bgColor rgb="FFF3F6F8"/>
      </patternFill>
    </fill>
    <fill>
      <patternFill patternType="solid">
        <fgColor rgb="FFE2F0D9"/>
        <bgColor rgb="FFE7E6E6"/>
      </patternFill>
    </fill>
    <fill>
      <patternFill patternType="solid">
        <fgColor rgb="FFE7E6E6"/>
        <bgColor rgb="FFDDEBF7"/>
      </patternFill>
    </fill>
    <fill>
      <patternFill patternType="solid">
        <fgColor rgb="FFF3F6F8"/>
        <bgColor rgb="FFFFFFFF"/>
      </patternFill>
    </fill>
  </fills>
  <borders count="4">
    <border>
      <left/>
      <right/>
      <top/>
      <bottom/>
      <diagonal/>
    </border>
    <border>
      <left style="thin">
        <color rgb="FFB7C9D6"/>
      </left>
      <right style="thin">
        <color rgb="FFB7C9D6"/>
      </right>
      <top style="thin">
        <color rgb="FFB7C9D6"/>
      </top>
      <bottom style="thin">
        <color rgb="FFB7C9D6"/>
      </bottom>
      <diagonal/>
    </border>
    <border>
      <left/>
      <right/>
      <top style="thin">
        <color rgb="FFB7C9D6"/>
      </top>
      <bottom style="thin">
        <color rgb="FFB7C9D6"/>
      </bottom>
      <diagonal/>
    </border>
    <border>
      <left/>
      <right style="thin">
        <color rgb="FFB7C9D6"/>
      </right>
      <top/>
      <bottom/>
      <diagonal/>
    </border>
  </borders>
  <cellStyleXfs count="1">
    <xf numFmtId="0" fontId="0" fillId="0" borderId="0"/>
  </cellStyleXfs>
  <cellXfs count="80">
    <xf numFmtId="0" fontId="0" fillId="0" borderId="0" xfId="0"/>
    <xf numFmtId="0" fontId="0" fillId="0" borderId="0" xfId="0" applyAlignment="1"/>
    <xf numFmtId="0" fontId="0" fillId="4" borderId="1" xfId="0" applyFont="1" applyFill="1" applyBorder="1" applyAlignment="1">
      <alignment vertical="center" wrapText="1"/>
    </xf>
    <xf numFmtId="0" fontId="0" fillId="0" borderId="2" xfId="0" applyBorder="1" applyAlignment="1"/>
    <xf numFmtId="0" fontId="0" fillId="5" borderId="1" xfId="0" applyFont="1" applyFill="1" applyBorder="1" applyAlignment="1">
      <alignment vertical="center" wrapText="1"/>
    </xf>
    <xf numFmtId="0" fontId="0" fillId="6" borderId="1" xfId="0" applyFont="1" applyFill="1" applyBorder="1" applyAlignment="1">
      <alignment vertical="center" wrapText="1"/>
    </xf>
    <xf numFmtId="164" fontId="0" fillId="4" borderId="1" xfId="0" applyNumberFormat="1" applyFill="1" applyBorder="1" applyAlignment="1">
      <alignment vertical="center" wrapText="1"/>
    </xf>
    <xf numFmtId="10" fontId="0" fillId="4" borderId="1" xfId="0" applyNumberFormat="1" applyFill="1" applyBorder="1" applyAlignment="1">
      <alignment vertical="center" wrapText="1"/>
    </xf>
    <xf numFmtId="0" fontId="0" fillId="4" borderId="1" xfId="0" applyFill="1" applyBorder="1" applyAlignment="1">
      <alignment vertical="center"/>
    </xf>
    <xf numFmtId="3" fontId="0" fillId="4" borderId="1" xfId="0" applyNumberFormat="1" applyFill="1" applyBorder="1" applyAlignment="1">
      <alignment vertical="center"/>
    </xf>
    <xf numFmtId="0" fontId="0" fillId="4" borderId="1" xfId="0" applyFont="1" applyFill="1" applyBorder="1" applyAlignment="1">
      <alignment vertical="center"/>
    </xf>
    <xf numFmtId="0" fontId="3" fillId="2" borderId="0" xfId="0" applyFont="1" applyFill="1" applyAlignment="1">
      <alignment vertical="center" wrapText="1"/>
    </xf>
    <xf numFmtId="165" fontId="0" fillId="4" borderId="1" xfId="0" applyNumberFormat="1" applyFill="1" applyBorder="1" applyAlignment="1">
      <alignment vertical="center" wrapText="1"/>
    </xf>
    <xf numFmtId="2" fontId="0" fillId="4" borderId="1" xfId="0" applyNumberFormat="1" applyFill="1" applyBorder="1" applyAlignment="1">
      <alignment vertical="center" wrapText="1"/>
    </xf>
    <xf numFmtId="0" fontId="0" fillId="0" borderId="0" xfId="0" applyFont="1" applyAlignment="1">
      <alignment vertical="center" wrapText="1"/>
    </xf>
    <xf numFmtId="0" fontId="0" fillId="4" borderId="0" xfId="0" applyFill="1" applyAlignment="1">
      <alignment vertical="center" wrapText="1"/>
    </xf>
    <xf numFmtId="166" fontId="0" fillId="7" borderId="1" xfId="0" applyNumberFormat="1" applyFill="1" applyBorder="1" applyAlignment="1">
      <alignment vertical="center"/>
    </xf>
    <xf numFmtId="164" fontId="0" fillId="7" borderId="1" xfId="0" applyNumberFormat="1" applyFill="1" applyBorder="1" applyAlignment="1">
      <alignment vertical="center"/>
    </xf>
    <xf numFmtId="164" fontId="0" fillId="7" borderId="1" xfId="0" applyNumberFormat="1" applyFill="1" applyBorder="1" applyAlignment="1">
      <alignment vertical="center" wrapText="1"/>
    </xf>
    <xf numFmtId="2" fontId="0" fillId="7" borderId="1" xfId="0" applyNumberFormat="1" applyFill="1" applyBorder="1" applyAlignment="1">
      <alignment vertical="center" wrapText="1"/>
    </xf>
    <xf numFmtId="1" fontId="0" fillId="7" borderId="1" xfId="0" applyNumberFormat="1" applyFill="1" applyBorder="1" applyAlignment="1">
      <alignment vertical="center" wrapText="1"/>
    </xf>
    <xf numFmtId="167" fontId="0" fillId="7" borderId="1" xfId="0" applyNumberFormat="1" applyFill="1" applyBorder="1" applyAlignment="1">
      <alignment vertical="center" wrapText="1"/>
    </xf>
    <xf numFmtId="165" fontId="0" fillId="7" borderId="1" xfId="0" applyNumberFormat="1" applyFill="1" applyBorder="1" applyAlignment="1">
      <alignment vertical="center" wrapText="1"/>
    </xf>
    <xf numFmtId="0" fontId="7" fillId="0" borderId="0" xfId="0" applyFont="1" applyAlignment="1">
      <alignment vertical="center" wrapText="1"/>
    </xf>
    <xf numFmtId="0" fontId="0" fillId="7" borderId="1" xfId="0" applyFill="1" applyBorder="1" applyAlignment="1">
      <alignment vertical="center" wrapText="1"/>
    </xf>
    <xf numFmtId="168" fontId="0" fillId="7" borderId="1" xfId="0" applyNumberFormat="1" applyFill="1" applyBorder="1" applyAlignment="1">
      <alignment vertical="center" wrapText="1"/>
    </xf>
    <xf numFmtId="168" fontId="0" fillId="0" borderId="1" xfId="0" applyNumberFormat="1" applyBorder="1" applyAlignment="1">
      <alignment vertical="center" wrapText="1"/>
    </xf>
    <xf numFmtId="169" fontId="0" fillId="7" borderId="1" xfId="0" applyNumberFormat="1" applyFill="1" applyBorder="1" applyAlignment="1">
      <alignment vertical="center" wrapText="1"/>
    </xf>
    <xf numFmtId="170" fontId="0" fillId="7" borderId="1" xfId="0" applyNumberFormat="1" applyFill="1" applyBorder="1" applyAlignment="1">
      <alignment vertical="center" wrapText="1"/>
    </xf>
    <xf numFmtId="0" fontId="9" fillId="0" borderId="0" xfId="0" applyFont="1" applyAlignment="1">
      <alignment wrapText="1"/>
    </xf>
    <xf numFmtId="164" fontId="0" fillId="0" borderId="1" xfId="0" applyNumberFormat="1" applyBorder="1" applyAlignment="1">
      <alignment vertical="center"/>
    </xf>
    <xf numFmtId="168" fontId="0" fillId="0" borderId="1" xfId="0" applyNumberFormat="1" applyBorder="1" applyAlignment="1">
      <alignment vertical="center"/>
    </xf>
    <xf numFmtId="2" fontId="0" fillId="0" borderId="1" xfId="0" applyNumberFormat="1" applyBorder="1" applyAlignment="1">
      <alignment vertical="center" wrapText="1"/>
    </xf>
    <xf numFmtId="164" fontId="0" fillId="0" borderId="1" xfId="0" applyNumberFormat="1" applyBorder="1" applyAlignment="1">
      <alignment vertical="center" wrapText="1"/>
    </xf>
    <xf numFmtId="170" fontId="0" fillId="0" borderId="1" xfId="0" applyNumberFormat="1" applyBorder="1" applyAlignment="1">
      <alignment vertical="center" wrapText="1"/>
    </xf>
    <xf numFmtId="0" fontId="0" fillId="0" borderId="1" xfId="0" applyBorder="1" applyAlignment="1">
      <alignment vertical="center"/>
    </xf>
    <xf numFmtId="0" fontId="0" fillId="0" borderId="1" xfId="0" applyBorder="1" applyAlignment="1">
      <alignment horizontal="left"/>
    </xf>
    <xf numFmtId="1" fontId="0" fillId="4" borderId="1" xfId="0" applyNumberFormat="1" applyFill="1" applyBorder="1" applyAlignment="1">
      <alignment vertical="center" wrapText="1"/>
    </xf>
    <xf numFmtId="3" fontId="0" fillId="4" borderId="1" xfId="0" applyNumberFormat="1" applyFill="1" applyBorder="1" applyAlignment="1">
      <alignment vertical="center" wrapText="1"/>
    </xf>
    <xf numFmtId="3" fontId="0" fillId="7" borderId="1" xfId="0" applyNumberFormat="1" applyFill="1" applyBorder="1" applyAlignment="1">
      <alignment vertical="center" wrapText="1"/>
    </xf>
    <xf numFmtId="9" fontId="0" fillId="4" borderId="1" xfId="0" applyNumberFormat="1" applyFill="1" applyBorder="1" applyAlignment="1">
      <alignment vertical="center" wrapText="1"/>
    </xf>
    <xf numFmtId="1" fontId="10" fillId="7" borderId="1" xfId="0" applyNumberFormat="1" applyFont="1" applyFill="1" applyBorder="1" applyAlignment="1">
      <alignment vertical="center" wrapText="1"/>
    </xf>
    <xf numFmtId="164" fontId="10" fillId="7" borderId="1" xfId="0" applyNumberFormat="1" applyFont="1" applyFill="1" applyBorder="1" applyAlignment="1">
      <alignment vertical="center" wrapText="1"/>
    </xf>
    <xf numFmtId="9" fontId="10" fillId="7" borderId="1" xfId="0" applyNumberFormat="1" applyFont="1" applyFill="1" applyBorder="1" applyAlignment="1">
      <alignment vertical="center" wrapText="1"/>
    </xf>
    <xf numFmtId="49" fontId="0" fillId="0" borderId="1" xfId="0" applyNumberFormat="1" applyFont="1" applyBorder="1" applyAlignment="1">
      <alignment horizontal="left"/>
    </xf>
    <xf numFmtId="3" fontId="0" fillId="0" borderId="1" xfId="0" applyNumberFormat="1" applyBorder="1" applyAlignment="1">
      <alignment horizontal="right"/>
    </xf>
    <xf numFmtId="171" fontId="0" fillId="0" borderId="1" xfId="0" applyNumberFormat="1" applyBorder="1" applyAlignment="1">
      <alignment horizontal="right"/>
    </xf>
    <xf numFmtId="164" fontId="0" fillId="0" borderId="1" xfId="0" applyNumberFormat="1" applyBorder="1" applyAlignment="1">
      <alignment horizontal="right"/>
    </xf>
    <xf numFmtId="1" fontId="0" fillId="0" borderId="1" xfId="0" applyNumberFormat="1" applyFont="1" applyBorder="1" applyAlignment="1">
      <alignment horizontal="right"/>
    </xf>
    <xf numFmtId="0" fontId="0" fillId="0" borderId="1" xfId="0" applyFont="1" applyBorder="1"/>
    <xf numFmtId="172" fontId="0" fillId="0" borderId="1" xfId="0" applyNumberFormat="1" applyBorder="1" applyAlignment="1">
      <alignment horizontal="right"/>
    </xf>
    <xf numFmtId="172" fontId="0" fillId="7" borderId="1" xfId="0" applyNumberFormat="1" applyFill="1" applyBorder="1" applyAlignment="1">
      <alignment vertical="center" wrapText="1"/>
    </xf>
    <xf numFmtId="0" fontId="4" fillId="3" borderId="1" xfId="0" applyFont="1" applyFill="1" applyBorder="1" applyAlignment="1"/>
    <xf numFmtId="0" fontId="3" fillId="5" borderId="1" xfId="0" applyFont="1" applyFill="1" applyBorder="1" applyAlignment="1">
      <alignment horizontal="center"/>
    </xf>
    <xf numFmtId="0" fontId="0" fillId="0" borderId="1" xfId="0" applyBorder="1" applyAlignment="1">
      <alignment vertical="center" wrapText="1"/>
    </xf>
    <xf numFmtId="0" fontId="0" fillId="0" borderId="1" xfId="0" applyBorder="1" applyAlignment="1">
      <alignment horizontal="center" vertical="top"/>
    </xf>
    <xf numFmtId="0" fontId="0" fillId="6" borderId="1" xfId="0" applyFont="1" applyFill="1" applyBorder="1" applyAlignment="1">
      <alignment vertical="top" wrapText="1"/>
    </xf>
    <xf numFmtId="0" fontId="0" fillId="5" borderId="1" xfId="0" applyFont="1" applyFill="1" applyBorder="1" applyAlignment="1">
      <alignment vertical="top" wrapText="1"/>
    </xf>
    <xf numFmtId="0" fontId="4" fillId="3" borderId="1" xfId="0" applyFont="1" applyFill="1" applyBorder="1" applyAlignment="1">
      <alignment vertical="top" wrapText="1"/>
    </xf>
    <xf numFmtId="0" fontId="3" fillId="2" borderId="0" xfId="0" applyFont="1" applyFill="1" applyAlignment="1">
      <alignment vertical="top" wrapText="1"/>
    </xf>
    <xf numFmtId="0" fontId="0" fillId="0" borderId="1" xfId="0" applyFont="1" applyBorder="1" applyAlignment="1">
      <alignment vertical="center" wrapText="1"/>
    </xf>
    <xf numFmtId="0" fontId="0" fillId="0" borderId="1" xfId="0" applyFont="1" applyBorder="1" applyAlignment="1">
      <alignment vertical="top" wrapText="1"/>
    </xf>
    <xf numFmtId="0" fontId="4" fillId="3" borderId="1" xfId="0" applyFont="1" applyFill="1" applyBorder="1" applyAlignment="1">
      <alignment vertical="center" wrapText="1"/>
    </xf>
    <xf numFmtId="0" fontId="6" fillId="3" borderId="0" xfId="0" applyFont="1" applyFill="1" applyBorder="1" applyAlignment="1">
      <alignment vertical="center" wrapText="1"/>
    </xf>
    <xf numFmtId="0" fontId="3" fillId="2" borderId="0" xfId="0" applyFont="1" applyFill="1" applyBorder="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0" fillId="0" borderId="1" xfId="0" applyFont="1" applyBorder="1" applyAlignment="1">
      <alignment vertical="center" wrapText="1"/>
    </xf>
    <xf numFmtId="0" fontId="7" fillId="0" borderId="0" xfId="0" applyFont="1" applyBorder="1" applyAlignment="1">
      <alignment vertical="center" wrapText="1"/>
    </xf>
    <xf numFmtId="0" fontId="7" fillId="0" borderId="0" xfId="0" applyFont="1" applyBorder="1" applyAlignment="1">
      <alignment vertical="top" wrapText="1"/>
    </xf>
    <xf numFmtId="0" fontId="4" fillId="3" borderId="0" xfId="0" applyFont="1" applyFill="1" applyBorder="1" applyAlignment="1">
      <alignment vertical="center" wrapText="1"/>
    </xf>
    <xf numFmtId="164" fontId="8" fillId="8" borderId="0" xfId="0" applyNumberFormat="1" applyFont="1" applyFill="1" applyBorder="1" applyAlignment="1">
      <alignment vertical="center" wrapText="1"/>
    </xf>
    <xf numFmtId="168" fontId="8" fillId="8" borderId="0" xfId="0" applyNumberFormat="1" applyFont="1" applyFill="1" applyBorder="1" applyAlignment="1">
      <alignment vertical="center" wrapText="1"/>
    </xf>
    <xf numFmtId="170" fontId="8" fillId="8" borderId="0" xfId="0" applyNumberFormat="1" applyFont="1" applyFill="1" applyBorder="1" applyAlignment="1">
      <alignment vertical="center" wrapText="1"/>
    </xf>
    <xf numFmtId="165" fontId="8" fillId="8" borderId="0" xfId="0" applyNumberFormat="1" applyFont="1" applyFill="1" applyBorder="1" applyAlignment="1">
      <alignment vertical="center" wrapText="1"/>
    </xf>
    <xf numFmtId="0" fontId="9" fillId="0" borderId="0" xfId="0" applyFont="1" applyBorder="1" applyAlignment="1">
      <alignment wrapText="1"/>
    </xf>
    <xf numFmtId="0" fontId="9" fillId="0" borderId="3" xfId="0" applyFont="1" applyBorder="1" applyAlignment="1">
      <alignment vertical="top" wrapText="1"/>
    </xf>
    <xf numFmtId="0" fontId="9" fillId="0" borderId="0" xfId="0" applyFont="1" applyBorder="1" applyAlignment="1">
      <alignment vertical="top" wrapText="1"/>
    </xf>
    <xf numFmtId="0" fontId="4" fillId="3" borderId="1" xfId="0" applyFont="1" applyFill="1" applyBorder="1" applyAlignment="1">
      <alignment vertical="center" wrapText="1"/>
    </xf>
    <xf numFmtId="0" fontId="0" fillId="0" borderId="1" xfId="0" applyFont="1" applyBorder="1" applyAlignment="1">
      <alignment vertical="top" wrapText="1"/>
    </xf>
  </cellXfs>
  <cellStyles count="1">
    <cellStyle name="Standard" xfId="0" builtinId="0"/>
  </cellStyles>
  <dxfs count="2">
    <dxf>
      <fill>
        <patternFill>
          <bgColor rgb="FFFFF2CC"/>
        </patternFill>
      </fill>
    </dxf>
    <dxf>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78787"/>
      <rgbColor rgb="FF9999FF"/>
      <rgbColor rgb="FFBE4B48"/>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E2F0D9"/>
      <rgbColor rgb="FFF3F6F8"/>
      <rgbColor rgb="FF99CCFF"/>
      <rgbColor rgb="FFFF99CC"/>
      <rgbColor rgb="FFCC99FF"/>
      <rgbColor rgb="FFE7E6E6"/>
      <rgbColor rgb="FF4A7EBB"/>
      <rgbColor rgb="FF33CCCC"/>
      <rgbColor rgb="FF99CC00"/>
      <rgbColor rgb="FFFFCC00"/>
      <rgbColor rgb="FFFF9900"/>
      <rgbColor rgb="FFFF6600"/>
      <rgbColor rgb="FF5B6573"/>
      <rgbColor rgb="FFB3B3B3"/>
      <rgbColor rgb="FF17365D"/>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Revenue and EBITDA</a:t>
            </a:r>
          </a:p>
        </c:rich>
      </c:tx>
      <c:overlay val="0"/>
      <c:spPr>
        <a:noFill/>
        <a:ln w="0">
          <a:noFill/>
        </a:ln>
      </c:spPr>
    </c:title>
    <c:autoTitleDeleted val="0"/>
    <c:plotArea>
      <c:layout/>
      <c:lineChart>
        <c:grouping val="standard"/>
        <c:varyColors val="0"/>
        <c:ser>
          <c:idx val="0"/>
          <c:order val="0"/>
          <c:tx>
            <c:strRef>
              <c:f>Outputs!D38</c:f>
              <c:strCache>
                <c:ptCount val="1"/>
                <c:pt idx="0">
                  <c:v>Revenue</c:v>
                </c:pt>
              </c:strCache>
            </c:strRef>
          </c:tx>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Outputs!$A$39:$A$71</c:f>
              <c:numCache>
                <c:formatCode>General</c:formatCode>
                <c:ptCount val="3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numCache>
            </c:numRef>
          </c:cat>
          <c:val>
            <c:numRef>
              <c:f>Outputs!$D$39:$D$71</c:f>
              <c:numCache>
                <c:formatCode>\€#,##0</c:formatCode>
                <c:ptCount val="33"/>
                <c:pt idx="0">
                  <c:v>0</c:v>
                </c:pt>
                <c:pt idx="1">
                  <c:v>0</c:v>
                </c:pt>
                <c:pt idx="2">
                  <c:v>14603400</c:v>
                </c:pt>
                <c:pt idx="3">
                  <c:v>14563500</c:v>
                </c:pt>
                <c:pt idx="4">
                  <c:v>14563500</c:v>
                </c:pt>
                <c:pt idx="5">
                  <c:v>14563500</c:v>
                </c:pt>
                <c:pt idx="6">
                  <c:v>14603400</c:v>
                </c:pt>
                <c:pt idx="7">
                  <c:v>14563500</c:v>
                </c:pt>
                <c:pt idx="8">
                  <c:v>14563500</c:v>
                </c:pt>
                <c:pt idx="9">
                  <c:v>14563500</c:v>
                </c:pt>
                <c:pt idx="10">
                  <c:v>14603400</c:v>
                </c:pt>
                <c:pt idx="11">
                  <c:v>14563500</c:v>
                </c:pt>
                <c:pt idx="12">
                  <c:v>14563500</c:v>
                </c:pt>
                <c:pt idx="13">
                  <c:v>14563500</c:v>
                </c:pt>
                <c:pt idx="14">
                  <c:v>14603400</c:v>
                </c:pt>
                <c:pt idx="15">
                  <c:v>14563500</c:v>
                </c:pt>
                <c:pt idx="16">
                  <c:v>14563500</c:v>
                </c:pt>
                <c:pt idx="17">
                  <c:v>10165211.482023655</c:v>
                </c:pt>
                <c:pt idx="18">
                  <c:v>10542089.072737763</c:v>
                </c:pt>
                <c:pt idx="19">
                  <c:v>10871216.497492041</c:v>
                </c:pt>
                <c:pt idx="20">
                  <c:v>11239259.367955144</c:v>
                </c:pt>
                <c:pt idx="21">
                  <c:v>11617675.466637772</c:v>
                </c:pt>
                <c:pt idx="22">
                  <c:v>12039627.663069898</c:v>
                </c:pt>
                <c:pt idx="23">
                  <c:v>12406704.755771935</c:v>
                </c:pt>
                <c:pt idx="24">
                  <c:v>12817873.203031192</c:v>
                </c:pt>
                <c:pt idx="25">
                  <c:v>13074230.667091815</c:v>
                </c:pt>
                <c:pt idx="26">
                  <c:v>13372251.486681417</c:v>
                </c:pt>
                <c:pt idx="27">
                  <c:v>0</c:v>
                </c:pt>
                <c:pt idx="28">
                  <c:v>0</c:v>
                </c:pt>
                <c:pt idx="29">
                  <c:v>0</c:v>
                </c:pt>
                <c:pt idx="30">
                  <c:v>0</c:v>
                </c:pt>
                <c:pt idx="31">
                  <c:v>0</c:v>
                </c:pt>
                <c:pt idx="32">
                  <c:v>0</c:v>
                </c:pt>
              </c:numCache>
            </c:numRef>
          </c:val>
          <c:smooth val="1"/>
          <c:extLst>
            <c:ext xmlns:c16="http://schemas.microsoft.com/office/drawing/2014/chart" uri="{C3380CC4-5D6E-409C-BE32-E72D297353CC}">
              <c16:uniqueId val="{00000000-CEA2-44C2-82F3-0EDC8463F183}"/>
            </c:ext>
          </c:extLst>
        </c:ser>
        <c:ser>
          <c:idx val="1"/>
          <c:order val="1"/>
          <c:tx>
            <c:strRef>
              <c:f>Outputs!E38</c:f>
              <c:strCache>
                <c:ptCount val="1"/>
                <c:pt idx="0">
                  <c:v>EBITDA</c:v>
                </c:pt>
              </c:strCache>
            </c:strRef>
          </c:tx>
          <c:spPr>
            <a:ln w="2844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Outputs!$A$39:$A$71</c:f>
              <c:numCache>
                <c:formatCode>General</c:formatCode>
                <c:ptCount val="33"/>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numCache>
            </c:numRef>
          </c:cat>
          <c:val>
            <c:numRef>
              <c:f>Outputs!$E$39:$E$71</c:f>
              <c:numCache>
                <c:formatCode>\€#,##0</c:formatCode>
                <c:ptCount val="33"/>
                <c:pt idx="0">
                  <c:v>0</c:v>
                </c:pt>
                <c:pt idx="1">
                  <c:v>0</c:v>
                </c:pt>
                <c:pt idx="2">
                  <c:v>10025640</c:v>
                </c:pt>
                <c:pt idx="3">
                  <c:v>9894184.8000000007</c:v>
                </c:pt>
                <c:pt idx="4">
                  <c:v>9800798.4959999993</c:v>
                </c:pt>
                <c:pt idx="5">
                  <c:v>9705544.4659199994</c:v>
                </c:pt>
                <c:pt idx="6">
                  <c:v>9648285.3552384004</c:v>
                </c:pt>
                <c:pt idx="7">
                  <c:v>9509283.062343169</c:v>
                </c:pt>
                <c:pt idx="8">
                  <c:v>9408198.7235900313</c:v>
                </c:pt>
                <c:pt idx="9">
                  <c:v>9305092.6980618313</c:v>
                </c:pt>
                <c:pt idx="10">
                  <c:v>9239824.5520230681</c:v>
                </c:pt>
                <c:pt idx="11">
                  <c:v>9092653.0430635326</c:v>
                </c:pt>
                <c:pt idx="12">
                  <c:v>8983236.1039248016</c:v>
                </c:pt>
                <c:pt idx="13">
                  <c:v>8871630.8260032963</c:v>
                </c:pt>
                <c:pt idx="14">
                  <c:v>8797693.442523364</c:v>
                </c:pt>
                <c:pt idx="15">
                  <c:v>8641679.3113738317</c:v>
                </c:pt>
                <c:pt idx="16">
                  <c:v>8523242.8976013064</c:v>
                </c:pt>
                <c:pt idx="17">
                  <c:v>4004149.2375769876</c:v>
                </c:pt>
                <c:pt idx="18">
                  <c:v>4257805.5834021633</c:v>
                </c:pt>
                <c:pt idx="19">
                  <c:v>4461247.3383697299</c:v>
                </c:pt>
                <c:pt idx="20">
                  <c:v>4701090.8256503856</c:v>
                </c:pt>
                <c:pt idx="21">
                  <c:v>4948743.5534869181</c:v>
                </c:pt>
                <c:pt idx="22">
                  <c:v>5237317.1116560278</c:v>
                </c:pt>
                <c:pt idx="23">
                  <c:v>5468347.9933297886</c:v>
                </c:pt>
                <c:pt idx="24">
                  <c:v>5740749.3053402007</c:v>
                </c:pt>
                <c:pt idx="25">
                  <c:v>5855564.2914470052</c:v>
                </c:pt>
                <c:pt idx="26">
                  <c:v>6009211.7835237095</c:v>
                </c:pt>
                <c:pt idx="27">
                  <c:v>0</c:v>
                </c:pt>
                <c:pt idx="28">
                  <c:v>0</c:v>
                </c:pt>
                <c:pt idx="29">
                  <c:v>0</c:v>
                </c:pt>
                <c:pt idx="30">
                  <c:v>0</c:v>
                </c:pt>
                <c:pt idx="31">
                  <c:v>0</c:v>
                </c:pt>
                <c:pt idx="32">
                  <c:v>0</c:v>
                </c:pt>
              </c:numCache>
            </c:numRef>
          </c:val>
          <c:smooth val="1"/>
          <c:extLst>
            <c:ext xmlns:c16="http://schemas.microsoft.com/office/drawing/2014/chart" uri="{C3380CC4-5D6E-409C-BE32-E72D297353CC}">
              <c16:uniqueId val="{00000001-CEA2-44C2-82F3-0EDC8463F183}"/>
            </c:ext>
          </c:extLst>
        </c:ser>
        <c:dLbls>
          <c:showLegendKey val="0"/>
          <c:showVal val="0"/>
          <c:showCatName val="0"/>
          <c:showSerName val="0"/>
          <c:showPercent val="0"/>
          <c:showBubbleSize val="0"/>
        </c:dLbls>
        <c:hiLowLines>
          <c:spPr>
            <a:ln w="0">
              <a:noFill/>
            </a:ln>
          </c:spPr>
        </c:hiLowLines>
        <c:smooth val="0"/>
        <c:axId val="24170845"/>
        <c:axId val="18943289"/>
      </c:lineChart>
      <c:catAx>
        <c:axId val="24170845"/>
        <c:scaling>
          <c:orientation val="minMax"/>
        </c:scaling>
        <c:delete val="1"/>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crossAx val="18943289"/>
        <c:crosses val="autoZero"/>
        <c:auto val="1"/>
        <c:lblAlgn val="ctr"/>
        <c:lblOffset val="100"/>
        <c:noMultiLvlLbl val="0"/>
      </c:catAx>
      <c:valAx>
        <c:axId val="18943289"/>
        <c:scaling>
          <c:orientation val="minMax"/>
        </c:scaling>
        <c:delete val="1"/>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t>
                </a:r>
              </a:p>
            </c:rich>
          </c:tx>
          <c:overlay val="0"/>
          <c:spPr>
            <a:noFill/>
            <a:ln w="0">
              <a:noFill/>
            </a:ln>
          </c:spPr>
        </c:title>
        <c:numFmt formatCode="\€#,##0" sourceLinked="1"/>
        <c:majorTickMark val="none"/>
        <c:minorTickMark val="none"/>
        <c:tickLblPos val="nextTo"/>
        <c:crossAx val="24170845"/>
        <c:crosses val="autoZero"/>
        <c:crossBetween val="between"/>
      </c:valAx>
      <c:spPr>
        <a:noFill/>
        <a:ln w="0">
          <a:noFill/>
        </a:ln>
      </c:spPr>
    </c:plotArea>
    <c:legend>
      <c:legendPos val="r"/>
      <c:overlay val="1"/>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152280</xdr:colOff>
      <xdr:row>37</xdr:row>
      <xdr:rowOff>86040</xdr:rowOff>
    </xdr:from>
    <xdr:to>
      <xdr:col>14</xdr:col>
      <xdr:colOff>192600</xdr:colOff>
      <xdr:row>52</xdr:row>
      <xdr:rowOff>140400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3:H32"/>
  <sheetViews>
    <sheetView showGridLines="0" zoomScaleNormal="100" workbookViewId="0">
      <pane ySplit="3" topLeftCell="A4" activePane="bottomLeft" state="frozen"/>
      <selection pane="bottomLeft" activeCell="E15" sqref="E15"/>
    </sheetView>
  </sheetViews>
  <sheetFormatPr defaultColWidth="8.7109375" defaultRowHeight="15"/>
  <cols>
    <col min="1" max="1" width="28" style="1" customWidth="1"/>
    <col min="2" max="2" width="22" style="1" customWidth="1"/>
    <col min="3" max="8" width="18" style="1" customWidth="1"/>
  </cols>
  <sheetData>
    <row r="3" spans="1:8" ht="15" customHeight="1">
      <c r="A3" s="65" t="s">
        <v>0</v>
      </c>
      <c r="B3" s="65"/>
      <c r="C3" s="65"/>
      <c r="D3" s="65"/>
      <c r="E3" s="65"/>
      <c r="F3" s="65"/>
      <c r="G3" s="65"/>
      <c r="H3" s="65"/>
    </row>
    <row r="4" spans="1:8" ht="15" customHeight="1">
      <c r="A4" s="65"/>
      <c r="B4" s="65"/>
      <c r="C4" s="65"/>
      <c r="D4" s="65"/>
      <c r="E4" s="65"/>
      <c r="F4" s="65"/>
      <c r="G4" s="65"/>
      <c r="H4" s="65"/>
    </row>
    <row r="5" spans="1:8" ht="16.5" customHeight="1">
      <c r="A5" s="66" t="s">
        <v>1</v>
      </c>
      <c r="B5" s="66"/>
      <c r="C5" s="66"/>
      <c r="D5" s="66"/>
      <c r="E5" s="66"/>
      <c r="F5" s="66"/>
      <c r="G5" s="66"/>
      <c r="H5" s="66"/>
    </row>
    <row r="8" spans="1:8" ht="19.5" customHeight="1">
      <c r="A8" s="64" t="s">
        <v>2</v>
      </c>
      <c r="B8" s="64"/>
      <c r="C8" s="64"/>
      <c r="D8" s="64"/>
      <c r="E8" s="64"/>
      <c r="F8" s="64"/>
      <c r="G8" s="64"/>
      <c r="H8" s="64"/>
    </row>
    <row r="9" spans="1:8" ht="15" customHeight="1">
      <c r="A9" s="62" t="s">
        <v>3</v>
      </c>
      <c r="B9" s="62" t="s">
        <v>4</v>
      </c>
      <c r="C9" s="62" t="s">
        <v>5</v>
      </c>
      <c r="D9" s="62" t="s">
        <v>6</v>
      </c>
    </row>
    <row r="10" spans="1:8" ht="54.75" customHeight="1">
      <c r="A10" s="60" t="s">
        <v>7</v>
      </c>
      <c r="B10" s="2" t="s">
        <v>8</v>
      </c>
      <c r="C10" s="60" t="s">
        <v>9</v>
      </c>
      <c r="D10" s="60" t="s">
        <v>10</v>
      </c>
    </row>
    <row r="11" spans="1:8" ht="15" customHeight="1">
      <c r="A11" s="60" t="s">
        <v>11</v>
      </c>
      <c r="B11" s="2">
        <v>2026</v>
      </c>
      <c r="C11" s="60" t="s">
        <v>12</v>
      </c>
      <c r="D11" s="60" t="s">
        <v>13</v>
      </c>
    </row>
    <row r="12" spans="1:8" ht="15" customHeight="1">
      <c r="A12" s="60" t="s">
        <v>14</v>
      </c>
      <c r="B12" s="2">
        <f>Inputs!B9</f>
        <v>2028</v>
      </c>
      <c r="C12" s="60" t="s">
        <v>12</v>
      </c>
      <c r="D12" s="60" t="s">
        <v>13</v>
      </c>
    </row>
    <row r="13" spans="1:8" ht="15" customHeight="1">
      <c r="A13" s="60" t="s">
        <v>15</v>
      </c>
      <c r="B13" s="2">
        <f>Inputs!B8</f>
        <v>25</v>
      </c>
      <c r="C13" s="60" t="s">
        <v>16</v>
      </c>
      <c r="D13" s="60" t="s">
        <v>13</v>
      </c>
    </row>
    <row r="14" spans="1:8" ht="15" customHeight="1">
      <c r="A14" s="60" t="s">
        <v>17</v>
      </c>
      <c r="B14" s="2">
        <f>Inputs!B7</f>
        <v>100</v>
      </c>
      <c r="C14" s="60" t="s">
        <v>18</v>
      </c>
      <c r="D14" s="60" t="s">
        <v>13</v>
      </c>
    </row>
    <row r="15" spans="1:8" ht="15" customHeight="1">
      <c r="A15" s="60" t="s">
        <v>19</v>
      </c>
      <c r="B15" s="2" t="s">
        <v>20</v>
      </c>
      <c r="C15" s="60" t="s">
        <v>9</v>
      </c>
      <c r="D15" s="60" t="s">
        <v>13</v>
      </c>
    </row>
    <row r="16" spans="1:8" ht="15" customHeight="1">
      <c r="A16" s="60" t="s">
        <v>21</v>
      </c>
      <c r="B16" s="2" t="s">
        <v>22</v>
      </c>
      <c r="C16" s="60" t="s">
        <v>9</v>
      </c>
      <c r="D16" s="60" t="s">
        <v>13</v>
      </c>
    </row>
    <row r="17" spans="1:8" ht="15" customHeight="1">
      <c r="A17" s="60" t="s">
        <v>23</v>
      </c>
      <c r="B17" s="2" t="s">
        <v>22</v>
      </c>
      <c r="C17" s="60" t="s">
        <v>9</v>
      </c>
      <c r="D17" s="60" t="s">
        <v>13</v>
      </c>
    </row>
    <row r="19" spans="1:8" ht="19.5" customHeight="1">
      <c r="A19" s="64" t="s">
        <v>24</v>
      </c>
      <c r="B19" s="64"/>
      <c r="C19" s="64"/>
      <c r="D19" s="64"/>
      <c r="E19" s="64"/>
      <c r="F19" s="64"/>
      <c r="G19" s="64"/>
      <c r="H19" s="64"/>
    </row>
    <row r="20" spans="1:8" ht="15" customHeight="1">
      <c r="A20" s="62" t="s">
        <v>25</v>
      </c>
      <c r="B20" s="62" t="s">
        <v>26</v>
      </c>
    </row>
    <row r="21" spans="1:8" ht="15" customHeight="1">
      <c r="A21" s="60" t="s">
        <v>27</v>
      </c>
      <c r="B21" s="67" t="s">
        <v>28</v>
      </c>
      <c r="C21" s="67"/>
      <c r="D21" s="67"/>
      <c r="E21" s="67"/>
      <c r="F21" s="67"/>
      <c r="G21" s="67"/>
      <c r="H21" s="67"/>
    </row>
    <row r="22" spans="1:8" ht="15" customHeight="1">
      <c r="A22" s="60" t="s">
        <v>29</v>
      </c>
      <c r="B22" s="67" t="s">
        <v>30</v>
      </c>
      <c r="C22" s="67"/>
      <c r="D22" s="67"/>
      <c r="E22" s="67"/>
      <c r="F22" s="67"/>
      <c r="G22" s="67"/>
      <c r="H22" s="67"/>
    </row>
    <row r="23" spans="1:8" ht="15" customHeight="1">
      <c r="A23" s="60" t="s">
        <v>31</v>
      </c>
      <c r="B23" s="67" t="s">
        <v>32</v>
      </c>
      <c r="C23" s="67"/>
      <c r="D23" s="67"/>
      <c r="E23" s="67"/>
      <c r="F23" s="67"/>
      <c r="G23" s="67"/>
      <c r="H23" s="67"/>
    </row>
    <row r="24" spans="1:8" ht="15" customHeight="1">
      <c r="A24" s="60" t="s">
        <v>33</v>
      </c>
      <c r="B24" s="67" t="s">
        <v>34</v>
      </c>
      <c r="C24" s="67"/>
      <c r="D24" s="67"/>
      <c r="E24" s="67"/>
      <c r="F24" s="67"/>
      <c r="G24" s="67"/>
      <c r="H24" s="67"/>
    </row>
    <row r="25" spans="1:8" ht="15" customHeight="1">
      <c r="A25" s="60" t="s">
        <v>35</v>
      </c>
      <c r="B25" s="67" t="s">
        <v>36</v>
      </c>
      <c r="C25" s="67"/>
      <c r="D25" s="67"/>
      <c r="E25" s="67"/>
      <c r="F25" s="67"/>
      <c r="G25" s="67"/>
      <c r="H25" s="67"/>
    </row>
    <row r="26" spans="1:8" ht="15" customHeight="1">
      <c r="A26" s="60" t="s">
        <v>37</v>
      </c>
      <c r="B26" s="67" t="s">
        <v>38</v>
      </c>
      <c r="C26" s="67"/>
      <c r="D26" s="67"/>
      <c r="E26" s="67"/>
      <c r="F26" s="67"/>
      <c r="G26" s="67"/>
      <c r="H26" s="67"/>
    </row>
    <row r="27" spans="1:8" ht="15" customHeight="1">
      <c r="A27" s="60" t="s">
        <v>39</v>
      </c>
      <c r="B27" s="67" t="s">
        <v>40</v>
      </c>
      <c r="C27" s="67"/>
      <c r="D27" s="67"/>
      <c r="E27" s="67"/>
      <c r="F27" s="67"/>
      <c r="G27" s="67"/>
      <c r="H27" s="67"/>
    </row>
    <row r="28" spans="1:8" ht="15" customHeight="1">
      <c r="A28" s="60" t="s">
        <v>41</v>
      </c>
      <c r="B28" s="67" t="s">
        <v>42</v>
      </c>
      <c r="C28" s="67"/>
      <c r="D28" s="67"/>
      <c r="E28" s="67"/>
      <c r="F28" s="67"/>
      <c r="G28" s="67"/>
      <c r="H28" s="67"/>
    </row>
    <row r="29" spans="1:8" ht="15" customHeight="1">
      <c r="A29" s="60" t="s">
        <v>43</v>
      </c>
      <c r="B29" s="67" t="s">
        <v>44</v>
      </c>
      <c r="C29" s="67"/>
      <c r="D29" s="67"/>
      <c r="E29" s="67"/>
      <c r="F29" s="67"/>
      <c r="G29" s="67"/>
      <c r="H29" s="67"/>
    </row>
    <row r="30" spans="1:8" ht="15" customHeight="1">
      <c r="A30" s="60" t="s">
        <v>45</v>
      </c>
      <c r="B30" s="67" t="s">
        <v>46</v>
      </c>
      <c r="C30" s="67"/>
      <c r="D30" s="67"/>
      <c r="E30" s="67"/>
      <c r="F30" s="67"/>
      <c r="G30" s="67"/>
      <c r="H30" s="67"/>
    </row>
    <row r="31" spans="1:8" ht="54.75" customHeight="1">
      <c r="A31" s="60" t="s">
        <v>47</v>
      </c>
      <c r="B31" s="60" t="s">
        <v>48</v>
      </c>
      <c r="C31" s="3"/>
      <c r="D31" s="3"/>
    </row>
    <row r="32" spans="1:8" ht="68.25" customHeight="1">
      <c r="A32" s="60" t="s">
        <v>49</v>
      </c>
      <c r="B32" s="60" t="s">
        <v>50</v>
      </c>
      <c r="C32" s="3"/>
      <c r="D32" s="3"/>
    </row>
  </sheetData>
  <mergeCells count="14">
    <mergeCell ref="B27:H27"/>
    <mergeCell ref="B28:H28"/>
    <mergeCell ref="B29:H29"/>
    <mergeCell ref="B30:H30"/>
    <mergeCell ref="B22:H22"/>
    <mergeCell ref="B23:H23"/>
    <mergeCell ref="B24:H24"/>
    <mergeCell ref="B25:H25"/>
    <mergeCell ref="B26:H26"/>
    <mergeCell ref="A3:H4"/>
    <mergeCell ref="A5:H5"/>
    <mergeCell ref="A8:H8"/>
    <mergeCell ref="A19:H19"/>
    <mergeCell ref="B21:H21"/>
  </mergeCells>
  <dataValidations count="2">
    <dataValidation type="list" sqref="B15" xr:uid="{00000000-0002-0000-0000-000000000000}">
      <formula1>"Yes,No"</formula1>
      <formula2>0</formula2>
    </dataValidation>
    <dataValidation type="list" sqref="B16:B17" xr:uid="{00000000-0002-0000-0000-000001000000}">
      <formula1>"Low,Base,High"</formula1>
      <formula2>0</formula2>
    </dataValidation>
  </dataValidations>
  <pageMargins left="0.75" right="0.75" top="1" bottom="1" header="0.511811023622047" footer="0.5"/>
  <pageSetup fitToHeight="0" orientation="portrait" horizontalDpi="300" verticalDpi="300"/>
  <headerFooter>
    <oddFooter>&amp;CFinnish Onshore Wind Project Finance Model&amp;RPage &amp;P of &amp;N</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pageSetUpPr fitToPage="1"/>
  </sheetPr>
  <dimension ref="A1:H83"/>
  <sheetViews>
    <sheetView showGridLines="0" zoomScaleNormal="100" workbookViewId="0">
      <pane ySplit="5" topLeftCell="A21" activePane="bottomLeft" state="frozen"/>
      <selection pane="bottomLeft" activeCell="G29" sqref="G29"/>
    </sheetView>
  </sheetViews>
  <sheetFormatPr defaultColWidth="8.7109375" defaultRowHeight="15"/>
  <cols>
    <col min="1" max="1" width="32" style="1" customWidth="1"/>
    <col min="2" max="2" width="16" style="1" customWidth="1"/>
    <col min="3" max="3" width="14" style="1" customWidth="1"/>
    <col min="4" max="4" width="42" style="1" customWidth="1"/>
    <col min="5" max="5" width="22" style="1" customWidth="1"/>
    <col min="6" max="6" width="14" style="1" customWidth="1"/>
    <col min="7" max="7" width="43" style="1" customWidth="1"/>
    <col min="8" max="8" width="18" style="1" customWidth="1"/>
  </cols>
  <sheetData>
    <row r="1" spans="1:8" ht="27.75" customHeight="1">
      <c r="A1" s="63" t="s">
        <v>51</v>
      </c>
      <c r="B1" s="63"/>
      <c r="C1" s="63"/>
      <c r="D1" s="63"/>
      <c r="E1" s="63"/>
      <c r="F1" s="63"/>
      <c r="G1" s="63"/>
      <c r="H1" s="63"/>
    </row>
    <row r="3" spans="1:8" ht="15" customHeight="1">
      <c r="A3" s="68" t="s">
        <v>52</v>
      </c>
      <c r="B3" s="68"/>
      <c r="C3" s="68"/>
      <c r="D3" s="68"/>
      <c r="E3" s="68"/>
      <c r="F3" s="68"/>
      <c r="G3" s="68"/>
      <c r="H3" s="68"/>
    </row>
    <row r="5" spans="1:8" ht="19.5" customHeight="1">
      <c r="A5" s="64" t="s">
        <v>53</v>
      </c>
      <c r="B5" s="64"/>
      <c r="C5" s="64"/>
      <c r="D5" s="64"/>
      <c r="E5" s="64"/>
      <c r="F5" s="64"/>
      <c r="G5" s="64"/>
      <c r="H5" s="64"/>
    </row>
    <row r="6" spans="1:8" ht="15" customHeight="1">
      <c r="A6" s="62" t="s">
        <v>54</v>
      </c>
      <c r="B6" s="62" t="s">
        <v>4</v>
      </c>
      <c r="C6" s="62" t="s">
        <v>5</v>
      </c>
      <c r="D6" s="62" t="s">
        <v>55</v>
      </c>
      <c r="E6" s="62" t="s">
        <v>6</v>
      </c>
      <c r="F6" s="62" t="s">
        <v>56</v>
      </c>
      <c r="G6" s="62" t="s">
        <v>57</v>
      </c>
      <c r="H6" s="62" t="s">
        <v>58</v>
      </c>
    </row>
    <row r="7" spans="1:8" ht="21.75" customHeight="1">
      <c r="A7" s="60" t="s">
        <v>17</v>
      </c>
      <c r="B7" s="2">
        <v>100</v>
      </c>
      <c r="C7" s="60" t="s">
        <v>18</v>
      </c>
      <c r="D7" s="60" t="s">
        <v>59</v>
      </c>
      <c r="E7" s="4" t="s">
        <v>60</v>
      </c>
      <c r="F7" s="60"/>
      <c r="G7" s="60" t="s">
        <v>61</v>
      </c>
      <c r="H7" s="60" t="s">
        <v>31</v>
      </c>
    </row>
    <row r="8" spans="1:8" ht="30.75" customHeight="1">
      <c r="A8" s="60" t="s">
        <v>15</v>
      </c>
      <c r="B8" s="2">
        <v>25</v>
      </c>
      <c r="C8" s="60" t="s">
        <v>16</v>
      </c>
      <c r="D8" s="60" t="s">
        <v>62</v>
      </c>
      <c r="E8" s="5" t="s">
        <v>63</v>
      </c>
      <c r="F8" s="60"/>
      <c r="G8" s="60" t="s">
        <v>64</v>
      </c>
      <c r="H8" s="60" t="s">
        <v>65</v>
      </c>
    </row>
    <row r="9" spans="1:8" ht="30.75" customHeight="1">
      <c r="A9" s="60" t="s">
        <v>66</v>
      </c>
      <c r="B9" s="2">
        <v>2028</v>
      </c>
      <c r="C9" s="60" t="s">
        <v>12</v>
      </c>
      <c r="D9" s="60" t="s">
        <v>67</v>
      </c>
      <c r="E9" s="4" t="s">
        <v>60</v>
      </c>
      <c r="F9" s="60"/>
      <c r="G9" s="60" t="s">
        <v>68</v>
      </c>
      <c r="H9" s="60" t="s">
        <v>65</v>
      </c>
    </row>
    <row r="10" spans="1:8" ht="27.75" customHeight="1">
      <c r="A10" s="60" t="s">
        <v>69</v>
      </c>
      <c r="B10" s="6">
        <v>0.35</v>
      </c>
      <c r="C10" s="60" t="s">
        <v>70</v>
      </c>
      <c r="D10" s="60" t="s">
        <v>71</v>
      </c>
      <c r="E10" s="5" t="s">
        <v>63</v>
      </c>
      <c r="F10" s="60"/>
      <c r="G10" s="60" t="s">
        <v>72</v>
      </c>
      <c r="H10" s="60" t="s">
        <v>31</v>
      </c>
    </row>
    <row r="11" spans="1:8" ht="48.75" customHeight="1">
      <c r="A11" s="60" t="s">
        <v>73</v>
      </c>
      <c r="B11" s="7">
        <v>0.05</v>
      </c>
      <c r="C11" s="60" t="s">
        <v>70</v>
      </c>
      <c r="D11" s="60" t="s">
        <v>74</v>
      </c>
      <c r="E11" s="5" t="s">
        <v>63</v>
      </c>
      <c r="F11" s="60"/>
      <c r="G11" s="60" t="s">
        <v>75</v>
      </c>
      <c r="H11" s="60" t="s">
        <v>31</v>
      </c>
    </row>
    <row r="12" spans="1:8" ht="19.5" customHeight="1">
      <c r="A12" s="64" t="s">
        <v>76</v>
      </c>
      <c r="B12" s="64"/>
      <c r="C12" s="64"/>
      <c r="D12" s="64"/>
      <c r="E12" s="64"/>
      <c r="F12" s="64"/>
      <c r="G12" s="64"/>
      <c r="H12" s="64"/>
    </row>
    <row r="13" spans="1:8" ht="15" customHeight="1">
      <c r="A13" s="62" t="s">
        <v>54</v>
      </c>
      <c r="B13" s="62" t="s">
        <v>4</v>
      </c>
      <c r="C13" s="62" t="s">
        <v>5</v>
      </c>
      <c r="D13" s="62" t="s">
        <v>55</v>
      </c>
      <c r="E13" s="62" t="s">
        <v>6</v>
      </c>
      <c r="F13" s="62" t="s">
        <v>56</v>
      </c>
      <c r="G13" s="62" t="s">
        <v>57</v>
      </c>
      <c r="H13" s="62" t="s">
        <v>58</v>
      </c>
    </row>
    <row r="14" spans="1:8" ht="49.5" customHeight="1">
      <c r="A14" s="60" t="s">
        <v>77</v>
      </c>
      <c r="B14" s="8">
        <v>1500</v>
      </c>
      <c r="C14" s="60" t="s">
        <v>78</v>
      </c>
      <c r="D14" s="60" t="s">
        <v>79</v>
      </c>
      <c r="E14" s="5" t="s">
        <v>63</v>
      </c>
      <c r="F14" s="60"/>
      <c r="G14" s="61" t="s">
        <v>80</v>
      </c>
      <c r="H14" s="60" t="s">
        <v>81</v>
      </c>
    </row>
    <row r="15" spans="1:8" ht="27.75" customHeight="1">
      <c r="A15" s="60" t="s">
        <v>82</v>
      </c>
      <c r="B15" s="8"/>
      <c r="C15" s="60" t="s">
        <v>83</v>
      </c>
      <c r="D15" s="60"/>
      <c r="E15" s="4" t="s">
        <v>84</v>
      </c>
      <c r="F15" s="60"/>
      <c r="G15" s="61" t="s">
        <v>85</v>
      </c>
      <c r="H15" s="60" t="s">
        <v>81</v>
      </c>
    </row>
    <row r="16" spans="1:8" ht="27.75" customHeight="1">
      <c r="A16" s="60" t="s">
        <v>86</v>
      </c>
      <c r="B16" s="8">
        <v>0</v>
      </c>
      <c r="C16" s="60" t="s">
        <v>78</v>
      </c>
      <c r="D16" s="60" t="s">
        <v>87</v>
      </c>
      <c r="E16" s="4" t="s">
        <v>60</v>
      </c>
      <c r="F16" s="60"/>
      <c r="G16" s="61" t="s">
        <v>88</v>
      </c>
      <c r="H16" s="60" t="s">
        <v>81</v>
      </c>
    </row>
    <row r="17" spans="1:8" ht="19.5" customHeight="1">
      <c r="A17" s="64" t="s">
        <v>89</v>
      </c>
      <c r="B17" s="64"/>
      <c r="C17" s="64"/>
      <c r="D17" s="64"/>
      <c r="E17" s="64"/>
      <c r="F17" s="64"/>
      <c r="G17" s="64"/>
      <c r="H17" s="64"/>
    </row>
    <row r="18" spans="1:8" ht="15" customHeight="1">
      <c r="A18" s="62" t="s">
        <v>54</v>
      </c>
      <c r="B18" s="62" t="s">
        <v>4</v>
      </c>
      <c r="C18" s="62" t="s">
        <v>5</v>
      </c>
      <c r="D18" s="62" t="s">
        <v>55</v>
      </c>
      <c r="E18" s="62" t="s">
        <v>6</v>
      </c>
      <c r="F18" s="62" t="s">
        <v>56</v>
      </c>
      <c r="G18" s="62" t="s">
        <v>57</v>
      </c>
      <c r="H18" s="62" t="s">
        <v>58</v>
      </c>
    </row>
    <row r="19" spans="1:8" ht="27.75" customHeight="1">
      <c r="A19" s="60" t="s">
        <v>90</v>
      </c>
      <c r="B19" s="8">
        <v>39000</v>
      </c>
      <c r="C19" s="60" t="s">
        <v>91</v>
      </c>
      <c r="D19" s="60" t="s">
        <v>92</v>
      </c>
      <c r="E19" s="5" t="s">
        <v>63</v>
      </c>
      <c r="F19" s="60"/>
      <c r="G19" s="61" t="s">
        <v>93</v>
      </c>
      <c r="H19" s="60" t="s">
        <v>35</v>
      </c>
    </row>
    <row r="20" spans="1:8" ht="27.75" customHeight="1">
      <c r="A20" s="60" t="s">
        <v>94</v>
      </c>
      <c r="B20" s="8">
        <v>0</v>
      </c>
      <c r="C20" s="60" t="s">
        <v>95</v>
      </c>
      <c r="D20" s="60" t="s">
        <v>96</v>
      </c>
      <c r="E20" s="4" t="s">
        <v>60</v>
      </c>
      <c r="F20" s="60"/>
      <c r="G20" s="61" t="s">
        <v>97</v>
      </c>
      <c r="H20" s="60" t="s">
        <v>35</v>
      </c>
    </row>
    <row r="21" spans="1:8" ht="27.75" customHeight="1">
      <c r="A21" s="60" t="s">
        <v>98</v>
      </c>
      <c r="B21" s="8">
        <v>5000</v>
      </c>
      <c r="C21" s="60" t="s">
        <v>91</v>
      </c>
      <c r="D21" s="60" t="s">
        <v>99</v>
      </c>
      <c r="E21" s="5" t="s">
        <v>63</v>
      </c>
      <c r="F21" s="60"/>
      <c r="G21" s="61" t="s">
        <v>100</v>
      </c>
      <c r="H21" s="60" t="s">
        <v>35</v>
      </c>
    </row>
    <row r="22" spans="1:8" ht="19.5" customHeight="1">
      <c r="A22" s="64" t="s">
        <v>49</v>
      </c>
      <c r="B22" s="64"/>
      <c r="C22" s="64"/>
      <c r="D22" s="64"/>
      <c r="E22" s="64"/>
      <c r="F22" s="64"/>
      <c r="G22" s="64"/>
      <c r="H22" s="64"/>
    </row>
    <row r="23" spans="1:8" ht="15" customHeight="1">
      <c r="A23" s="62" t="s">
        <v>54</v>
      </c>
      <c r="B23" s="62" t="s">
        <v>4</v>
      </c>
      <c r="C23" s="62" t="s">
        <v>5</v>
      </c>
      <c r="D23" s="62" t="s">
        <v>55</v>
      </c>
      <c r="E23" s="62" t="s">
        <v>6</v>
      </c>
      <c r="F23" s="62" t="s">
        <v>56</v>
      </c>
      <c r="G23" s="62" t="s">
        <v>57</v>
      </c>
      <c r="H23" s="62" t="s">
        <v>58</v>
      </c>
    </row>
    <row r="24" spans="1:8" ht="27.75" customHeight="1">
      <c r="A24" s="60" t="s">
        <v>101</v>
      </c>
      <c r="B24" s="2">
        <v>0</v>
      </c>
      <c r="C24" s="60" t="s">
        <v>102</v>
      </c>
      <c r="D24" s="60"/>
      <c r="E24" s="4" t="s">
        <v>60</v>
      </c>
      <c r="F24" s="60"/>
      <c r="G24" s="60" t="s">
        <v>103</v>
      </c>
      <c r="H24" s="60" t="s">
        <v>65</v>
      </c>
    </row>
    <row r="25" spans="1:8" ht="27.75" customHeight="1">
      <c r="A25" s="60" t="s">
        <v>104</v>
      </c>
      <c r="B25" s="6">
        <v>0.85</v>
      </c>
      <c r="C25" s="60" t="s">
        <v>70</v>
      </c>
      <c r="D25" s="60"/>
      <c r="E25" s="4" t="s">
        <v>84</v>
      </c>
      <c r="F25" s="60"/>
      <c r="G25" s="60" t="s">
        <v>105</v>
      </c>
      <c r="H25" s="60" t="s">
        <v>106</v>
      </c>
    </row>
    <row r="26" spans="1:8" ht="27.75" customHeight="1">
      <c r="A26" s="60" t="s">
        <v>107</v>
      </c>
      <c r="B26" s="2">
        <v>0</v>
      </c>
      <c r="C26" s="60" t="s">
        <v>108</v>
      </c>
      <c r="D26" s="60"/>
      <c r="E26" s="4" t="s">
        <v>84</v>
      </c>
      <c r="F26" s="60"/>
      <c r="G26" s="61" t="s">
        <v>109</v>
      </c>
      <c r="H26" s="60" t="s">
        <v>106</v>
      </c>
    </row>
    <row r="27" spans="1:8" ht="19.5" customHeight="1">
      <c r="A27" s="64" t="s">
        <v>110</v>
      </c>
      <c r="B27" s="64"/>
      <c r="C27" s="64"/>
      <c r="D27" s="64"/>
      <c r="E27" s="64"/>
      <c r="F27" s="64"/>
      <c r="G27" s="64"/>
      <c r="H27" s="64"/>
    </row>
    <row r="28" spans="1:8" ht="15" customHeight="1">
      <c r="A28" s="62" t="s">
        <v>54</v>
      </c>
      <c r="B28" s="62" t="s">
        <v>4</v>
      </c>
      <c r="C28" s="62" t="s">
        <v>5</v>
      </c>
      <c r="D28" s="62" t="s">
        <v>55</v>
      </c>
      <c r="E28" s="62" t="s">
        <v>6</v>
      </c>
      <c r="F28" s="62" t="s">
        <v>56</v>
      </c>
      <c r="G28" s="62" t="s">
        <v>57</v>
      </c>
      <c r="H28" s="62" t="s">
        <v>58</v>
      </c>
    </row>
    <row r="29" spans="1:8" ht="41.25" customHeight="1">
      <c r="A29" s="60" t="s">
        <v>111</v>
      </c>
      <c r="B29" s="6">
        <v>0.2</v>
      </c>
      <c r="C29" s="60" t="s">
        <v>70</v>
      </c>
      <c r="D29" s="61" t="s">
        <v>112</v>
      </c>
      <c r="E29" s="5" t="s">
        <v>113</v>
      </c>
      <c r="F29" s="60"/>
      <c r="G29" s="61" t="s">
        <v>114</v>
      </c>
      <c r="H29" s="60" t="s">
        <v>39</v>
      </c>
    </row>
    <row r="30" spans="1:8" ht="19.5" customHeight="1">
      <c r="A30" s="64" t="s">
        <v>115</v>
      </c>
      <c r="B30" s="64"/>
      <c r="C30" s="64"/>
      <c r="D30" s="64"/>
      <c r="E30" s="64"/>
      <c r="F30" s="64"/>
      <c r="G30" s="64"/>
      <c r="H30" s="64"/>
    </row>
    <row r="31" spans="1:8" ht="15" customHeight="1">
      <c r="A31" s="62" t="s">
        <v>54</v>
      </c>
      <c r="B31" s="62" t="s">
        <v>4</v>
      </c>
      <c r="C31" s="62" t="s">
        <v>5</v>
      </c>
      <c r="D31" s="62" t="s">
        <v>55</v>
      </c>
      <c r="E31" s="62" t="s">
        <v>6</v>
      </c>
      <c r="F31" s="62" t="s">
        <v>56</v>
      </c>
      <c r="G31" s="62" t="s">
        <v>57</v>
      </c>
      <c r="H31" s="62" t="s">
        <v>58</v>
      </c>
    </row>
    <row r="32" spans="1:8" ht="27" customHeight="1">
      <c r="A32" s="60" t="s">
        <v>116</v>
      </c>
      <c r="B32" s="2">
        <v>1.3</v>
      </c>
      <c r="C32" s="60" t="s">
        <v>117</v>
      </c>
      <c r="D32" s="60" t="s">
        <v>118</v>
      </c>
      <c r="E32" s="4" t="s">
        <v>60</v>
      </c>
      <c r="F32" s="60" t="s">
        <v>119</v>
      </c>
      <c r="G32" s="60" t="s">
        <v>120</v>
      </c>
      <c r="H32" s="60" t="s">
        <v>37</v>
      </c>
    </row>
    <row r="33" spans="1:8" ht="17.25" customHeight="1">
      <c r="A33" s="60" t="s">
        <v>121</v>
      </c>
      <c r="B33" s="7">
        <v>5.7500000000000002E-2</v>
      </c>
      <c r="C33" s="60" t="s">
        <v>70</v>
      </c>
      <c r="D33" s="60" t="s">
        <v>122</v>
      </c>
      <c r="E33" s="5" t="s">
        <v>63</v>
      </c>
      <c r="F33" s="60"/>
      <c r="G33" s="61" t="s">
        <v>123</v>
      </c>
      <c r="H33" s="60" t="s">
        <v>37</v>
      </c>
    </row>
    <row r="34" spans="1:8" ht="21.75" customHeight="1">
      <c r="A34" s="60" t="s">
        <v>124</v>
      </c>
      <c r="B34" s="2">
        <v>15</v>
      </c>
      <c r="C34" s="60" t="s">
        <v>16</v>
      </c>
      <c r="D34" s="60" t="s">
        <v>125</v>
      </c>
      <c r="E34" s="4" t="s">
        <v>60</v>
      </c>
      <c r="F34" s="60"/>
      <c r="G34" s="60" t="s">
        <v>126</v>
      </c>
      <c r="H34" s="60" t="s">
        <v>37</v>
      </c>
    </row>
    <row r="35" spans="1:8" ht="27.75" customHeight="1">
      <c r="A35" s="60" t="s">
        <v>127</v>
      </c>
      <c r="B35" s="2">
        <v>15</v>
      </c>
      <c r="C35" s="60" t="s">
        <v>16</v>
      </c>
      <c r="D35" s="60" t="s">
        <v>128</v>
      </c>
      <c r="E35" s="4" t="s">
        <v>60</v>
      </c>
      <c r="F35" s="60"/>
      <c r="G35" s="61" t="s">
        <v>129</v>
      </c>
      <c r="H35" s="60" t="s">
        <v>37</v>
      </c>
    </row>
    <row r="36" spans="1:8" ht="19.5" customHeight="1">
      <c r="A36" s="64" t="s">
        <v>130</v>
      </c>
      <c r="B36" s="64"/>
      <c r="C36" s="64"/>
      <c r="D36" s="64"/>
      <c r="E36" s="64"/>
      <c r="F36" s="64"/>
      <c r="G36" s="64"/>
      <c r="H36" s="64"/>
    </row>
    <row r="37" spans="1:8" ht="15" customHeight="1">
      <c r="A37" s="62" t="s">
        <v>54</v>
      </c>
      <c r="B37" s="62" t="s">
        <v>4</v>
      </c>
      <c r="C37" s="62" t="s">
        <v>5</v>
      </c>
      <c r="D37" s="62" t="s">
        <v>55</v>
      </c>
      <c r="E37" s="62" t="s">
        <v>6</v>
      </c>
      <c r="F37" s="62" t="s">
        <v>56</v>
      </c>
      <c r="G37" s="62" t="s">
        <v>57</v>
      </c>
      <c r="H37" s="62" t="s">
        <v>58</v>
      </c>
    </row>
    <row r="38" spans="1:8" ht="27.75" customHeight="1">
      <c r="A38" s="60" t="s">
        <v>131</v>
      </c>
      <c r="B38" s="6">
        <v>0.06</v>
      </c>
      <c r="C38" s="60" t="s">
        <v>70</v>
      </c>
      <c r="D38" s="60" t="s">
        <v>132</v>
      </c>
      <c r="E38" s="4" t="s">
        <v>60</v>
      </c>
      <c r="F38" s="60"/>
      <c r="G38" s="61" t="s">
        <v>133</v>
      </c>
      <c r="H38" s="60" t="s">
        <v>41</v>
      </c>
    </row>
    <row r="39" spans="1:8" ht="27.75" customHeight="1">
      <c r="A39" s="60" t="s">
        <v>134</v>
      </c>
      <c r="B39" s="6">
        <v>0.1</v>
      </c>
      <c r="C39" s="60" t="s">
        <v>70</v>
      </c>
      <c r="D39" s="60" t="s">
        <v>135</v>
      </c>
      <c r="E39" s="4" t="s">
        <v>60</v>
      </c>
      <c r="F39" s="60"/>
      <c r="G39" s="61" t="s">
        <v>136</v>
      </c>
      <c r="H39" s="60" t="s">
        <v>43</v>
      </c>
    </row>
    <row r="40" spans="1:8" ht="27.75" customHeight="1">
      <c r="A40" s="60" t="s">
        <v>137</v>
      </c>
      <c r="B40" s="8">
        <v>50</v>
      </c>
      <c r="C40" s="60" t="s">
        <v>95</v>
      </c>
      <c r="D40" s="60" t="s">
        <v>138</v>
      </c>
      <c r="E40" s="4" t="s">
        <v>60</v>
      </c>
      <c r="F40" s="60"/>
      <c r="G40" s="61" t="s">
        <v>139</v>
      </c>
      <c r="H40" s="60" t="s">
        <v>33</v>
      </c>
    </row>
    <row r="41" spans="1:8" ht="15" customHeight="1">
      <c r="A41" s="64" t="s">
        <v>140</v>
      </c>
      <c r="B41" s="64"/>
      <c r="C41" s="64"/>
      <c r="D41" s="64"/>
      <c r="E41" s="64"/>
      <c r="F41" s="64"/>
      <c r="G41" s="64"/>
      <c r="H41" s="64"/>
    </row>
    <row r="42" spans="1:8" ht="15" customHeight="1">
      <c r="A42" s="62" t="s">
        <v>54</v>
      </c>
      <c r="B42" s="62" t="s">
        <v>4</v>
      </c>
      <c r="C42" s="62" t="s">
        <v>5</v>
      </c>
      <c r="D42" s="62" t="s">
        <v>55</v>
      </c>
      <c r="E42" s="62" t="s">
        <v>6</v>
      </c>
      <c r="F42" s="62" t="s">
        <v>56</v>
      </c>
      <c r="G42" s="62" t="s">
        <v>57</v>
      </c>
      <c r="H42" s="62" t="s">
        <v>58</v>
      </c>
    </row>
    <row r="43" spans="1:8" ht="27.75" customHeight="1">
      <c r="A43" s="60" t="s">
        <v>141</v>
      </c>
      <c r="B43" s="6">
        <v>1</v>
      </c>
      <c r="C43" s="60" t="s">
        <v>142</v>
      </c>
      <c r="D43" s="61" t="s">
        <v>143</v>
      </c>
      <c r="E43" s="5" t="s">
        <v>63</v>
      </c>
      <c r="F43" s="60"/>
      <c r="G43" s="61" t="s">
        <v>144</v>
      </c>
      <c r="H43" s="60" t="s">
        <v>29</v>
      </c>
    </row>
    <row r="44" spans="1:8" ht="27" customHeight="1">
      <c r="A44" s="60" t="s">
        <v>145</v>
      </c>
      <c r="B44" s="8">
        <v>15</v>
      </c>
      <c r="C44" s="60" t="s">
        <v>146</v>
      </c>
      <c r="D44" s="61" t="s">
        <v>147</v>
      </c>
      <c r="E44" s="5" t="s">
        <v>63</v>
      </c>
      <c r="F44" s="60"/>
      <c r="G44" s="61" t="s">
        <v>148</v>
      </c>
      <c r="H44" s="60" t="s">
        <v>29</v>
      </c>
    </row>
    <row r="45" spans="1:8" ht="15" customHeight="1">
      <c r="A45" s="64" t="s">
        <v>149</v>
      </c>
      <c r="B45" s="64"/>
      <c r="C45" s="64"/>
      <c r="D45" s="64"/>
      <c r="E45" s="64"/>
      <c r="F45" s="64"/>
      <c r="G45" s="64"/>
      <c r="H45" s="64"/>
    </row>
    <row r="46" spans="1:8" ht="15" customHeight="1">
      <c r="A46" s="62" t="s">
        <v>54</v>
      </c>
      <c r="B46" s="62" t="s">
        <v>4</v>
      </c>
      <c r="C46" s="62" t="s">
        <v>5</v>
      </c>
      <c r="D46" s="62" t="s">
        <v>55</v>
      </c>
      <c r="E46" s="62" t="s">
        <v>6</v>
      </c>
      <c r="F46" s="62" t="s">
        <v>56</v>
      </c>
      <c r="G46" s="62" t="s">
        <v>57</v>
      </c>
      <c r="H46" s="62" t="s">
        <v>58</v>
      </c>
    </row>
    <row r="47" spans="1:8" ht="27.75" customHeight="1">
      <c r="A47" s="60" t="s">
        <v>150</v>
      </c>
      <c r="B47" s="8"/>
      <c r="C47" s="60" t="s">
        <v>18</v>
      </c>
      <c r="D47" s="61"/>
      <c r="E47" s="4" t="s">
        <v>84</v>
      </c>
      <c r="F47" s="60"/>
      <c r="G47" s="61" t="s">
        <v>151</v>
      </c>
      <c r="H47" s="60" t="s">
        <v>33</v>
      </c>
    </row>
    <row r="48" spans="1:8" ht="41.25" customHeight="1">
      <c r="A48" s="60" t="s">
        <v>152</v>
      </c>
      <c r="B48" s="8"/>
      <c r="C48" s="60" t="s">
        <v>153</v>
      </c>
      <c r="D48" s="61"/>
      <c r="E48" s="4" t="s">
        <v>84</v>
      </c>
      <c r="F48" s="60"/>
      <c r="G48" s="61" t="s">
        <v>154</v>
      </c>
      <c r="H48" s="60" t="s">
        <v>33</v>
      </c>
    </row>
    <row r="49" spans="1:8" ht="41.25" customHeight="1">
      <c r="A49" s="60" t="s">
        <v>155</v>
      </c>
      <c r="B49" s="8"/>
      <c r="C49" s="60" t="s">
        <v>91</v>
      </c>
      <c r="D49" s="61"/>
      <c r="E49" s="4" t="s">
        <v>84</v>
      </c>
      <c r="F49" s="60"/>
      <c r="G49" s="61" t="s">
        <v>154</v>
      </c>
      <c r="H49" s="60" t="s">
        <v>33</v>
      </c>
    </row>
    <row r="50" spans="1:8" ht="27.75" customHeight="1">
      <c r="A50" s="60" t="s">
        <v>156</v>
      </c>
      <c r="B50" s="8"/>
      <c r="C50" s="60" t="s">
        <v>91</v>
      </c>
      <c r="D50" s="61"/>
      <c r="E50" s="4" t="s">
        <v>84</v>
      </c>
      <c r="F50" s="60"/>
      <c r="G50" s="61" t="s">
        <v>154</v>
      </c>
      <c r="H50" s="60" t="s">
        <v>33</v>
      </c>
    </row>
    <row r="51" spans="1:8" ht="27.75" customHeight="1">
      <c r="A51" s="60" t="s">
        <v>157</v>
      </c>
      <c r="B51" s="8">
        <v>15</v>
      </c>
      <c r="C51" s="60" t="s">
        <v>16</v>
      </c>
      <c r="D51" s="61" t="s">
        <v>158</v>
      </c>
      <c r="E51" s="4" t="s">
        <v>60</v>
      </c>
      <c r="F51" s="60"/>
      <c r="G51" s="61" t="s">
        <v>159</v>
      </c>
      <c r="H51" s="60" t="s">
        <v>35</v>
      </c>
    </row>
    <row r="52" spans="1:8" ht="27.75" customHeight="1">
      <c r="A52" s="60" t="s">
        <v>160</v>
      </c>
      <c r="B52" s="6"/>
      <c r="C52" s="60" t="s">
        <v>161</v>
      </c>
      <c r="D52" s="61"/>
      <c r="E52" s="4" t="s">
        <v>84</v>
      </c>
      <c r="F52" s="60"/>
      <c r="G52" s="61" t="s">
        <v>154</v>
      </c>
      <c r="H52" s="60" t="s">
        <v>35</v>
      </c>
    </row>
    <row r="53" spans="1:8" ht="15" customHeight="1">
      <c r="A53" s="64" t="s">
        <v>162</v>
      </c>
      <c r="B53" s="64"/>
      <c r="C53" s="64"/>
      <c r="D53" s="64"/>
      <c r="E53" s="64"/>
      <c r="F53" s="64"/>
      <c r="G53" s="64"/>
      <c r="H53" s="64"/>
    </row>
    <row r="54" spans="1:8" ht="15" customHeight="1">
      <c r="A54" s="62" t="s">
        <v>54</v>
      </c>
      <c r="B54" s="62" t="s">
        <v>4</v>
      </c>
      <c r="C54" s="62" t="s">
        <v>5</v>
      </c>
      <c r="D54" s="62" t="s">
        <v>55</v>
      </c>
      <c r="E54" s="62" t="s">
        <v>6</v>
      </c>
      <c r="F54" s="62" t="s">
        <v>56</v>
      </c>
      <c r="G54" s="62" t="s">
        <v>57</v>
      </c>
      <c r="H54" s="62" t="s">
        <v>58</v>
      </c>
    </row>
    <row r="55" spans="1:8" ht="45.75" customHeight="1">
      <c r="A55" s="60" t="s">
        <v>163</v>
      </c>
      <c r="B55" s="8">
        <v>20</v>
      </c>
      <c r="C55" s="60" t="s">
        <v>78</v>
      </c>
      <c r="D55" s="61" t="s">
        <v>164</v>
      </c>
      <c r="E55" s="5" t="s">
        <v>63</v>
      </c>
      <c r="F55" s="60"/>
      <c r="G55" s="61" t="s">
        <v>165</v>
      </c>
      <c r="H55" s="60" t="s">
        <v>35</v>
      </c>
    </row>
    <row r="56" spans="1:8" ht="41.25" customHeight="1">
      <c r="A56" s="60" t="s">
        <v>166</v>
      </c>
      <c r="B56" s="6">
        <v>0.23499999999999999</v>
      </c>
      <c r="C56" s="60" t="s">
        <v>167</v>
      </c>
      <c r="D56" s="61" t="s">
        <v>168</v>
      </c>
      <c r="E56" s="5" t="s">
        <v>63</v>
      </c>
      <c r="F56" s="60"/>
      <c r="G56" s="61" t="s">
        <v>169</v>
      </c>
      <c r="H56" s="60" t="s">
        <v>39</v>
      </c>
    </row>
    <row r="57" spans="1:8" ht="41.25" customHeight="1">
      <c r="A57" s="60" t="s">
        <v>170</v>
      </c>
      <c r="B57" s="6">
        <v>0.25</v>
      </c>
      <c r="C57" s="60" t="s">
        <v>171</v>
      </c>
      <c r="D57" s="61" t="s">
        <v>172</v>
      </c>
      <c r="E57" s="5" t="s">
        <v>113</v>
      </c>
      <c r="F57" s="60"/>
      <c r="G57" s="61" t="s">
        <v>173</v>
      </c>
      <c r="H57" s="60" t="s">
        <v>39</v>
      </c>
    </row>
    <row r="58" spans="1:8" ht="27.75" customHeight="1">
      <c r="A58" s="60" t="s">
        <v>174</v>
      </c>
      <c r="B58" s="9">
        <v>500000</v>
      </c>
      <c r="C58" s="60" t="s">
        <v>175</v>
      </c>
      <c r="D58" s="61" t="s">
        <v>172</v>
      </c>
      <c r="E58" s="5" t="s">
        <v>113</v>
      </c>
      <c r="F58" s="60"/>
      <c r="G58" s="61" t="s">
        <v>176</v>
      </c>
      <c r="H58" s="60" t="s">
        <v>39</v>
      </c>
    </row>
    <row r="59" spans="1:8" ht="27.75" customHeight="1">
      <c r="A59" s="60" t="s">
        <v>177</v>
      </c>
      <c r="B59" s="6">
        <v>0.75</v>
      </c>
      <c r="C59" s="60" t="s">
        <v>178</v>
      </c>
      <c r="D59" s="61" t="s">
        <v>179</v>
      </c>
      <c r="E59" s="5" t="s">
        <v>63</v>
      </c>
      <c r="F59" s="60"/>
      <c r="G59" s="61" t="s">
        <v>180</v>
      </c>
      <c r="H59" s="60" t="s">
        <v>37</v>
      </c>
    </row>
    <row r="61" spans="1:8" ht="15" customHeight="1">
      <c r="A61" s="64" t="s">
        <v>181</v>
      </c>
      <c r="B61" s="64"/>
      <c r="C61" s="64"/>
      <c r="D61" s="64"/>
      <c r="E61" s="64"/>
      <c r="F61" s="64"/>
      <c r="G61" s="64"/>
      <c r="H61" s="64"/>
    </row>
    <row r="62" spans="1:8" ht="15" customHeight="1">
      <c r="A62" s="62" t="s">
        <v>54</v>
      </c>
      <c r="B62" s="62" t="s">
        <v>4</v>
      </c>
      <c r="C62" s="62" t="s">
        <v>5</v>
      </c>
      <c r="D62" s="62" t="s">
        <v>55</v>
      </c>
      <c r="E62" s="62" t="s">
        <v>6</v>
      </c>
      <c r="F62" s="62" t="s">
        <v>56</v>
      </c>
      <c r="G62" s="62" t="s">
        <v>57</v>
      </c>
      <c r="H62" s="62" t="s">
        <v>58</v>
      </c>
    </row>
    <row r="63" spans="1:8" ht="27.75" customHeight="1">
      <c r="A63" s="60" t="s">
        <v>182</v>
      </c>
      <c r="B63" s="6">
        <v>0.02</v>
      </c>
      <c r="C63" s="60" t="s">
        <v>183</v>
      </c>
      <c r="D63" s="61" t="s">
        <v>184</v>
      </c>
      <c r="E63" s="5" t="s">
        <v>63</v>
      </c>
      <c r="F63" s="60"/>
      <c r="G63" s="61" t="s">
        <v>185</v>
      </c>
      <c r="H63" s="61" t="s">
        <v>186</v>
      </c>
    </row>
    <row r="64" spans="1:8" ht="27.75" customHeight="1">
      <c r="A64" s="60" t="s">
        <v>187</v>
      </c>
      <c r="B64" s="10" t="s">
        <v>188</v>
      </c>
      <c r="C64" s="60" t="s">
        <v>189</v>
      </c>
      <c r="D64" s="61" t="s">
        <v>190</v>
      </c>
      <c r="E64" s="5" t="s">
        <v>63</v>
      </c>
      <c r="F64" s="60"/>
      <c r="G64" s="61" t="s">
        <v>191</v>
      </c>
      <c r="H64" s="60" t="s">
        <v>29</v>
      </c>
    </row>
    <row r="66" spans="1:8" ht="41.25" customHeight="1">
      <c r="A66" s="11" t="s">
        <v>192</v>
      </c>
    </row>
    <row r="67" spans="1:8" ht="15" customHeight="1">
      <c r="A67" s="62" t="s">
        <v>54</v>
      </c>
      <c r="B67" s="62" t="s">
        <v>4</v>
      </c>
      <c r="C67" s="62" t="s">
        <v>5</v>
      </c>
      <c r="D67" s="62" t="s">
        <v>55</v>
      </c>
      <c r="E67" s="62" t="s">
        <v>6</v>
      </c>
      <c r="F67" s="62" t="s">
        <v>56</v>
      </c>
      <c r="G67" s="62" t="s">
        <v>57</v>
      </c>
      <c r="H67" s="62" t="s">
        <v>58</v>
      </c>
    </row>
    <row r="68" spans="1:8" ht="93" customHeight="1">
      <c r="A68" s="60" t="s">
        <v>193</v>
      </c>
      <c r="B68" s="12">
        <v>55.78</v>
      </c>
      <c r="C68" s="60" t="s">
        <v>95</v>
      </c>
      <c r="D68" s="61" t="s">
        <v>194</v>
      </c>
      <c r="E68" s="5" t="s">
        <v>63</v>
      </c>
      <c r="F68" s="60" t="s">
        <v>195</v>
      </c>
      <c r="G68" s="61" t="s">
        <v>196</v>
      </c>
      <c r="H68" s="61" t="s">
        <v>29</v>
      </c>
    </row>
    <row r="69" spans="1:8" ht="93" customHeight="1">
      <c r="A69" s="60" t="s">
        <v>197</v>
      </c>
      <c r="B69" s="13">
        <v>53.84</v>
      </c>
      <c r="C69" s="60" t="s">
        <v>95</v>
      </c>
      <c r="D69" s="61" t="s">
        <v>198</v>
      </c>
      <c r="E69" s="5" t="s">
        <v>63</v>
      </c>
      <c r="F69" s="60" t="s">
        <v>195</v>
      </c>
      <c r="G69" s="61" t="s">
        <v>199</v>
      </c>
      <c r="H69" s="61" t="s">
        <v>29</v>
      </c>
    </row>
    <row r="70" spans="1:8" ht="93" customHeight="1">
      <c r="A70" s="60" t="s">
        <v>200</v>
      </c>
      <c r="B70" s="13">
        <v>48.67</v>
      </c>
      <c r="C70" s="60" t="s">
        <v>95</v>
      </c>
      <c r="D70" s="61" t="s">
        <v>201</v>
      </c>
      <c r="E70" s="5" t="s">
        <v>63</v>
      </c>
      <c r="F70" s="60" t="s">
        <v>22</v>
      </c>
      <c r="G70" s="61" t="s">
        <v>202</v>
      </c>
      <c r="H70" s="61" t="s">
        <v>29</v>
      </c>
    </row>
    <row r="71" spans="1:8" ht="78" customHeight="1">
      <c r="A71" s="60" t="s">
        <v>203</v>
      </c>
      <c r="B71" s="12">
        <v>39.799999999999997</v>
      </c>
      <c r="C71" s="60" t="s">
        <v>95</v>
      </c>
      <c r="D71" s="61" t="s">
        <v>204</v>
      </c>
      <c r="E71" s="5" t="s">
        <v>63</v>
      </c>
      <c r="F71" s="60" t="s">
        <v>22</v>
      </c>
      <c r="G71" s="61" t="s">
        <v>205</v>
      </c>
      <c r="H71" s="61" t="s">
        <v>29</v>
      </c>
    </row>
    <row r="72" spans="1:8" ht="93" customHeight="1">
      <c r="A72" s="60" t="s">
        <v>206</v>
      </c>
      <c r="B72" s="12">
        <v>45.6</v>
      </c>
      <c r="C72" s="60" t="s">
        <v>95</v>
      </c>
      <c r="D72" s="61" t="s">
        <v>207</v>
      </c>
      <c r="E72" s="5" t="s">
        <v>63</v>
      </c>
      <c r="F72" s="60" t="s">
        <v>22</v>
      </c>
      <c r="G72" s="61" t="s">
        <v>208</v>
      </c>
      <c r="H72" s="61" t="s">
        <v>29</v>
      </c>
    </row>
    <row r="73" spans="1:8" ht="93" customHeight="1">
      <c r="A73" s="60" t="s">
        <v>209</v>
      </c>
      <c r="B73" s="12">
        <v>34.700000000000003</v>
      </c>
      <c r="C73" s="60" t="s">
        <v>95</v>
      </c>
      <c r="D73" s="61" t="s">
        <v>210</v>
      </c>
      <c r="E73" s="5" t="s">
        <v>63</v>
      </c>
      <c r="F73" s="60" t="s">
        <v>211</v>
      </c>
      <c r="G73" s="61" t="s">
        <v>212</v>
      </c>
      <c r="H73" s="61" t="s">
        <v>29</v>
      </c>
    </row>
    <row r="74" spans="1:8" ht="78" customHeight="1">
      <c r="A74" s="60" t="s">
        <v>213</v>
      </c>
      <c r="B74" s="12">
        <v>32.6</v>
      </c>
      <c r="C74" s="60" t="s">
        <v>95</v>
      </c>
      <c r="D74" s="61" t="s">
        <v>214</v>
      </c>
      <c r="E74" s="5" t="s">
        <v>63</v>
      </c>
      <c r="F74" s="60" t="s">
        <v>211</v>
      </c>
      <c r="G74" s="61"/>
      <c r="H74" s="61" t="s">
        <v>29</v>
      </c>
    </row>
    <row r="75" spans="1:8" ht="78" customHeight="1">
      <c r="A75" s="60" t="s">
        <v>215</v>
      </c>
      <c r="B75" s="12">
        <v>37.4</v>
      </c>
      <c r="C75" s="60" t="s">
        <v>95</v>
      </c>
      <c r="D75" s="61" t="s">
        <v>216</v>
      </c>
      <c r="E75" s="5" t="s">
        <v>63</v>
      </c>
      <c r="F75" s="60" t="s">
        <v>211</v>
      </c>
      <c r="G75" s="61" t="s">
        <v>208</v>
      </c>
      <c r="H75" s="61" t="s">
        <v>29</v>
      </c>
    </row>
    <row r="76" spans="1:8" ht="93" customHeight="1">
      <c r="A76" s="60" t="s">
        <v>217</v>
      </c>
      <c r="B76" s="12">
        <v>56.6</v>
      </c>
      <c r="C76" s="60" t="s">
        <v>95</v>
      </c>
      <c r="D76" s="61" t="s">
        <v>218</v>
      </c>
      <c r="E76" s="5" t="s">
        <v>63</v>
      </c>
      <c r="F76" s="60" t="s">
        <v>219</v>
      </c>
      <c r="G76" s="61" t="s">
        <v>220</v>
      </c>
      <c r="H76" s="61" t="s">
        <v>29</v>
      </c>
    </row>
    <row r="77" spans="1:8" ht="78" customHeight="1">
      <c r="A77" s="60" t="s">
        <v>221</v>
      </c>
      <c r="B77" s="12">
        <v>56.6</v>
      </c>
      <c r="C77" s="60" t="s">
        <v>95</v>
      </c>
      <c r="D77" s="61" t="s">
        <v>222</v>
      </c>
      <c r="E77" s="4" t="s">
        <v>60</v>
      </c>
      <c r="F77" s="60" t="s">
        <v>219</v>
      </c>
      <c r="G77" s="61"/>
      <c r="H77" s="61" t="s">
        <v>29</v>
      </c>
    </row>
    <row r="78" spans="1:8" ht="33" customHeight="1">
      <c r="A78" s="60" t="s">
        <v>223</v>
      </c>
      <c r="B78" s="12">
        <v>56.6</v>
      </c>
      <c r="C78" s="60" t="s">
        <v>95</v>
      </c>
      <c r="D78" s="61" t="s">
        <v>224</v>
      </c>
      <c r="E78" s="4" t="s">
        <v>60</v>
      </c>
      <c r="F78" s="60" t="s">
        <v>219</v>
      </c>
      <c r="G78" s="61" t="s">
        <v>208</v>
      </c>
      <c r="H78" s="61" t="s">
        <v>29</v>
      </c>
    </row>
    <row r="79" spans="1:8" ht="138" customHeight="1">
      <c r="A79" s="60" t="s">
        <v>225</v>
      </c>
      <c r="B79" s="6">
        <v>0.5</v>
      </c>
      <c r="C79" s="60" t="s">
        <v>226</v>
      </c>
      <c r="D79" s="61" t="s">
        <v>227</v>
      </c>
      <c r="E79" s="4" t="s">
        <v>60</v>
      </c>
      <c r="F79" s="60" t="s">
        <v>211</v>
      </c>
      <c r="G79" s="61" t="s">
        <v>228</v>
      </c>
      <c r="H79" s="61" t="s">
        <v>29</v>
      </c>
    </row>
    <row r="80" spans="1:8" ht="153" customHeight="1">
      <c r="A80" s="60" t="s">
        <v>229</v>
      </c>
      <c r="B80" s="6">
        <v>0.6</v>
      </c>
      <c r="C80" s="60" t="s">
        <v>226</v>
      </c>
      <c r="D80" s="61" t="s">
        <v>230</v>
      </c>
      <c r="E80" s="5" t="s">
        <v>63</v>
      </c>
      <c r="F80" s="60" t="s">
        <v>22</v>
      </c>
      <c r="G80" s="61" t="s">
        <v>231</v>
      </c>
      <c r="H80" s="61" t="s">
        <v>29</v>
      </c>
    </row>
    <row r="81" spans="1:8" ht="138" customHeight="1">
      <c r="A81" s="60" t="s">
        <v>232</v>
      </c>
      <c r="B81" s="6">
        <v>0.7</v>
      </c>
      <c r="C81" s="60" t="s">
        <v>226</v>
      </c>
      <c r="D81" s="61" t="s">
        <v>227</v>
      </c>
      <c r="E81" s="4" t="s">
        <v>60</v>
      </c>
      <c r="F81" s="60" t="s">
        <v>219</v>
      </c>
      <c r="G81" s="61" t="s">
        <v>233</v>
      </c>
      <c r="H81" s="61" t="s">
        <v>29</v>
      </c>
    </row>
    <row r="83" spans="1:8" ht="94.5" customHeight="1">
      <c r="A83" s="69" t="s">
        <v>234</v>
      </c>
      <c r="B83" s="69"/>
      <c r="C83" s="69"/>
      <c r="D83" s="69"/>
      <c r="E83" s="69"/>
      <c r="F83" s="69"/>
      <c r="G83" s="69"/>
      <c r="H83" s="69"/>
    </row>
  </sheetData>
  <autoFilter ref="A5:H40" xr:uid="{00000000-0009-0000-0000-000001000000}"/>
  <mergeCells count="14">
    <mergeCell ref="A45:H45"/>
    <mergeCell ref="A53:H53"/>
    <mergeCell ref="A61:H61"/>
    <mergeCell ref="A83:H83"/>
    <mergeCell ref="A22:H22"/>
    <mergeCell ref="A27:H27"/>
    <mergeCell ref="A30:H30"/>
    <mergeCell ref="A36:H36"/>
    <mergeCell ref="A41:H41"/>
    <mergeCell ref="A1:H1"/>
    <mergeCell ref="A3:H3"/>
    <mergeCell ref="A5:H5"/>
    <mergeCell ref="A12:H12"/>
    <mergeCell ref="A17:H17"/>
  </mergeCells>
  <dataValidations count="1">
    <dataValidation type="list" sqref="B64" xr:uid="{00000000-0002-0000-0100-000000000000}">
      <formula1>"Yes,No"</formula1>
      <formula2>0</formula2>
    </dataValidation>
  </dataValidations>
  <pageMargins left="0.75" right="0.75" top="1" bottom="1" header="0.511811023622047" footer="0.5"/>
  <pageSetup fitToHeight="0" orientation="portrait" horizontalDpi="300" verticalDpi="300"/>
  <headerFooter>
    <oddFooter>&amp;CFinnish Onshore Wind Project Finance Model&amp;RPage &amp;P of &amp;N</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365D"/>
    <pageSetUpPr fitToPage="1"/>
  </sheetPr>
  <dimension ref="A1:V42"/>
  <sheetViews>
    <sheetView showGridLines="0" zoomScaleNormal="100" workbookViewId="0">
      <pane ySplit="7" topLeftCell="A20" activePane="bottomLeft" state="frozen"/>
      <selection pane="bottomLeft" activeCell="L6" sqref="L6"/>
    </sheetView>
  </sheetViews>
  <sheetFormatPr defaultColWidth="8.7109375" defaultRowHeight="15"/>
  <cols>
    <col min="1" max="1" width="12" style="1" customWidth="1"/>
    <col min="2" max="2" width="26" style="1" customWidth="1"/>
    <col min="3" max="6" width="14" style="1" customWidth="1"/>
    <col min="7" max="8" width="20" style="1" customWidth="1"/>
    <col min="9" max="9" width="28" style="1" customWidth="1"/>
    <col min="10" max="13" width="18" style="1" customWidth="1"/>
    <col min="14" max="16" width="26" style="1" customWidth="1"/>
    <col min="18" max="18" width="12" style="1" customWidth="1"/>
    <col min="19" max="21" width="10" style="1" customWidth="1"/>
    <col min="22" max="22" width="30" style="1" customWidth="1"/>
  </cols>
  <sheetData>
    <row r="1" spans="1:22" ht="27.75" customHeight="1">
      <c r="A1" s="63" t="s">
        <v>235</v>
      </c>
      <c r="B1" s="63"/>
      <c r="C1" s="63"/>
      <c r="D1" s="63"/>
      <c r="E1" s="63"/>
      <c r="F1" s="63"/>
      <c r="G1" s="63"/>
      <c r="H1" s="63"/>
      <c r="I1" s="63"/>
    </row>
    <row r="3" spans="1:22" ht="27.75" customHeight="1">
      <c r="A3" s="14" t="s">
        <v>21</v>
      </c>
      <c r="B3" s="15" t="str">
        <f>Cover!B16</f>
        <v>Base</v>
      </c>
    </row>
    <row r="4" spans="1:22" ht="15" customHeight="1">
      <c r="A4" s="14" t="s">
        <v>19</v>
      </c>
      <c r="B4" s="15" t="str">
        <f>Cover!B15</f>
        <v>Yes</v>
      </c>
    </row>
    <row r="5" spans="1:22" ht="27.75" customHeight="1">
      <c r="A5" s="14" t="s">
        <v>23</v>
      </c>
      <c r="B5" s="15" t="str">
        <f>Cover!B17</f>
        <v>Base</v>
      </c>
    </row>
    <row r="6" spans="1:22" ht="19.5" customHeight="1">
      <c r="A6" s="64" t="s">
        <v>236</v>
      </c>
      <c r="B6" s="64"/>
      <c r="C6" s="64"/>
      <c r="D6" s="64"/>
      <c r="E6" s="64"/>
      <c r="F6" s="64"/>
      <c r="G6" s="64"/>
      <c r="H6" s="64"/>
      <c r="I6" s="64"/>
      <c r="R6" s="11" t="s">
        <v>237</v>
      </c>
    </row>
    <row r="7" spans="1:22" ht="27.75" customHeight="1">
      <c r="A7" s="62" t="s">
        <v>238</v>
      </c>
      <c r="B7" s="62" t="s">
        <v>239</v>
      </c>
      <c r="C7" s="62" t="s">
        <v>240</v>
      </c>
      <c r="D7" s="62" t="s">
        <v>241</v>
      </c>
      <c r="E7" s="62" t="s">
        <v>242</v>
      </c>
      <c r="F7" s="62" t="s">
        <v>243</v>
      </c>
      <c r="G7" s="62" t="s">
        <v>244</v>
      </c>
      <c r="H7" s="62" t="s">
        <v>245</v>
      </c>
      <c r="I7" s="62" t="s">
        <v>246</v>
      </c>
      <c r="J7" s="62" t="s">
        <v>141</v>
      </c>
      <c r="K7" s="62" t="s">
        <v>247</v>
      </c>
      <c r="L7" s="62" t="s">
        <v>248</v>
      </c>
      <c r="M7" s="62" t="s">
        <v>249</v>
      </c>
      <c r="N7" s="62" t="s">
        <v>250</v>
      </c>
      <c r="O7" s="62" t="s">
        <v>251</v>
      </c>
      <c r="P7" s="62" t="s">
        <v>252</v>
      </c>
      <c r="R7" s="62" t="s">
        <v>253</v>
      </c>
      <c r="S7" s="62" t="s">
        <v>22</v>
      </c>
      <c r="T7" s="62" t="s">
        <v>211</v>
      </c>
      <c r="U7" s="62" t="s">
        <v>219</v>
      </c>
      <c r="V7" s="62" t="s">
        <v>254</v>
      </c>
    </row>
    <row r="8" spans="1:22" ht="15" customHeight="1">
      <c r="A8" s="60">
        <v>2026</v>
      </c>
      <c r="B8" s="16">
        <f>IF($A8&gt;=$R$12,S$12,INDEX(S$8:S$12,MATCH($A8,$R$8:$R$12,1))+(INDEX(S$8:S$12,MATCH($A8,$R$8:$R$12,1)+1)-INDEX(S$8:S$12,MATCH($A8,$R$8:$R$12,1)))*($A8-INDEX($R$8:$R$12,MATCH($A8,$R$8:$R$12,1)))/(INDEX($R$8:$R$12,MATCH($A8,$R$8:$R$12,1)+1)-INDEX($R$8:$R$12,MATCH($A8,$R$8:$R$12,1))))</f>
        <v>55.78</v>
      </c>
      <c r="C8" s="17">
        <f>Inputs!$B$79</f>
        <v>0.5</v>
      </c>
      <c r="D8" s="17">
        <f>Inputs!$B$80</f>
        <v>0.6</v>
      </c>
      <c r="E8" s="17">
        <f>Inputs!$B$81</f>
        <v>0.7</v>
      </c>
      <c r="F8" s="18">
        <f>IF($B$3="Low",C8,IF($B$3="High",E8,D8))</f>
        <v>0.6</v>
      </c>
      <c r="G8" s="19">
        <f>P8*F8*L8</f>
        <v>33.467999999999996</v>
      </c>
      <c r="H8" s="13">
        <f>Inputs!B40*M8</f>
        <v>50</v>
      </c>
      <c r="I8" s="19">
        <f>J8*H8+(1-J8)*G8</f>
        <v>33.467999999999996</v>
      </c>
      <c r="J8" s="18">
        <f>IF(AND($B$4="Yes",K8=1),Inputs!$B$43,0)</f>
        <v>0</v>
      </c>
      <c r="K8" s="20">
        <f>IF(AND(A8&gt;=Inputs!$B$9,A8&lt;Inputs!$B$9+Inputs!$B$44),1,0)</f>
        <v>0</v>
      </c>
      <c r="L8" s="21">
        <f>(1+Inputs!$B$63)^(A8-$A$8)</f>
        <v>1</v>
      </c>
      <c r="M8" s="21">
        <f>IF(Inputs!$B$64="Yes",L8,1)</f>
        <v>1</v>
      </c>
      <c r="N8" s="16">
        <f>IF($A8&gt;=$R$12,T$12,INDEX(T$8:T$12,MATCH($A8,$R$8:$R$12,1))+(INDEX(T$8:T$12,MATCH($A8,$R$8:$R$12,1)+1)-INDEX(T$8:T$12,MATCH($A8,$R$8:$R$12,1)))*($A8-INDEX($R$8:$R$12,MATCH($A8,$R$8:$R$12,1)))/(INDEX($R$8:$R$12,MATCH($A8,$R$8:$R$12,1)+1)-INDEX($R$8:$R$12,MATCH($A8,$R$8:$R$12,1))))</f>
        <v>55.78</v>
      </c>
      <c r="O8" s="16">
        <f>IF($A8&gt;=$R$12,U$12,INDEX(U$8:U$12,MATCH($A8,$R$8:$R$12,1))+(INDEX(U$8:U$12,MATCH($A8,$R$8:$R$12,1)+1)-INDEX(U$8:U$12,MATCH($A8,$R$8:$R$12,1)))*($A8-INDEX($R$8:$R$12,MATCH($A8,$R$8:$R$12,1)))/(INDEX($R$8:$R$12,MATCH($A8,$R$8:$R$12,1)+1)-INDEX($R$8:$R$12,MATCH($A8,$R$8:$R$12,1))))</f>
        <v>55.78</v>
      </c>
      <c r="P8" s="22">
        <f>IF($B$5="Low",N8,IF($B$5="High",O8,B8))</f>
        <v>55.78</v>
      </c>
      <c r="R8" s="60">
        <v>2026</v>
      </c>
      <c r="S8" s="22">
        <f>Inputs!$B$68</f>
        <v>55.78</v>
      </c>
      <c r="T8" s="22">
        <f>Inputs!$B$68</f>
        <v>55.78</v>
      </c>
      <c r="U8" s="22">
        <f>Inputs!$B$68</f>
        <v>55.78</v>
      </c>
      <c r="V8" s="60" t="s">
        <v>255</v>
      </c>
    </row>
    <row r="9" spans="1:22" ht="15" customHeight="1">
      <c r="A9" s="60">
        <v>2027</v>
      </c>
      <c r="B9" s="16">
        <f>IF($A9&gt;=$R$12,S$12,INDEX(S$8:S$12,MATCH($A9,$R$8:$R$12,1))+(INDEX(S$8:S$12,MATCH($A9,$R$8:$R$12,1)+1)-INDEX(S$8:S$12,MATCH($A9,$R$8:$R$12,1)))*($A9-INDEX($R$8:$R$12,MATCH($A9,$R$8:$R$12,1)))/(INDEX($R$8:$R$12,MATCH($A9,$R$8:$R$12,1)+1)-INDEX($R$8:$R$12,MATCH($A9,$R$8:$R$12,1))))</f>
        <v>54.81</v>
      </c>
      <c r="C9" s="17">
        <f>Inputs!$B$79</f>
        <v>0.5</v>
      </c>
      <c r="D9" s="17">
        <f>Inputs!$B$80</f>
        <v>0.6</v>
      </c>
      <c r="E9" s="17">
        <f>Inputs!$B$81</f>
        <v>0.7</v>
      </c>
      <c r="F9" s="18">
        <f>IF($B$3="Low",C9,IF($B$3="High",E9,D9))</f>
        <v>0.6</v>
      </c>
      <c r="G9" s="19">
        <f>P9*F9*L9</f>
        <v>33.54372</v>
      </c>
      <c r="H9" s="13">
        <f>Inputs!B40*M9</f>
        <v>50</v>
      </c>
      <c r="I9" s="19">
        <f>J9*H9+(1-J9)*G9</f>
        <v>33.54372</v>
      </c>
      <c r="J9" s="18">
        <f>IF(AND($B$4="Yes",K9=1),Inputs!$B$43,0)</f>
        <v>0</v>
      </c>
      <c r="K9" s="20">
        <f>IF(AND(A9&gt;=Inputs!$B$9,A9&lt;Inputs!$B$9+Inputs!$B$44),1,0)</f>
        <v>0</v>
      </c>
      <c r="L9" s="21">
        <f>(1+Inputs!$B$63)^(A9-$A$8)</f>
        <v>1.02</v>
      </c>
      <c r="M9" s="21">
        <f>IF(Inputs!$B$64="Yes",L9,1)</f>
        <v>1</v>
      </c>
      <c r="N9" s="16">
        <f>IF($A9&gt;=$R$12,T$12,INDEX(T$8:T$12,MATCH($A9,$R$8:$R$12,1))+(INDEX(T$8:T$12,MATCH($A9,$R$8:$R$12,1)+1)-INDEX(T$8:T$12,MATCH($A9,$R$8:$R$12,1)))*($A9-INDEX($R$8:$R$12,MATCH($A9,$R$8:$R$12,1)))/(INDEX($R$8:$R$12,MATCH($A9,$R$8:$R$12,1)+1)-INDEX($R$8:$R$12,MATCH($A9,$R$8:$R$12,1))))</f>
        <v>54.81</v>
      </c>
      <c r="O9" s="16">
        <f>IF($A9&gt;=$R$12,U$12,INDEX(U$8:U$12,MATCH($A9,$R$8:$R$12,1))+(INDEX(U$8:U$12,MATCH($A9,$R$8:$R$12,1)+1)-INDEX(U$8:U$12,MATCH($A9,$R$8:$R$12,1)))*($A9-INDEX($R$8:$R$12,MATCH($A9,$R$8:$R$12,1)))/(INDEX($R$8:$R$12,MATCH($A9,$R$8:$R$12,1)+1)-INDEX($R$8:$R$12,MATCH($A9,$R$8:$R$12,1))))</f>
        <v>54.81</v>
      </c>
      <c r="P9" s="22">
        <f>IF($B$5="Low",N9,IF($B$5="High",O9,B9))</f>
        <v>54.81</v>
      </c>
      <c r="R9" s="60">
        <v>2028</v>
      </c>
      <c r="S9" s="22">
        <f>IF(Inputs!$B$69="",S8+(S10-S8)*($R9-$R8)/($R10-$R8),Inputs!$B$69)</f>
        <v>53.84</v>
      </c>
      <c r="T9" s="22">
        <f>IF(Inputs!$B$69="",T8+(T10-T8)*($R9-$R8)/($R10-$R8),Inputs!$B$69)</f>
        <v>53.84</v>
      </c>
      <c r="U9" s="22">
        <f>IF(Inputs!$B$69="",U8+(U10-U8)*($R9-$R8)/($R10-$R8),Inputs!$B$69)</f>
        <v>53.84</v>
      </c>
      <c r="V9" s="60" t="s">
        <v>256</v>
      </c>
    </row>
    <row r="10" spans="1:22" ht="15" customHeight="1">
      <c r="A10" s="60">
        <v>2028</v>
      </c>
      <c r="B10" s="16">
        <f>IF($A10&gt;=$R$12,S$12,INDEX(S$8:S$12,MATCH($A10,$R$8:$R$12,1))+(INDEX(S$8:S$12,MATCH($A10,$R$8:$R$12,1)+1)-INDEX(S$8:S$12,MATCH($A10,$R$8:$R$12,1)))*($A10-INDEX($R$8:$R$12,MATCH($A10,$R$8:$R$12,1)))/(INDEX($R$8:$R$12,MATCH($A10,$R$8:$R$12,1)+1)-INDEX($R$8:$R$12,MATCH($A10,$R$8:$R$12,1))))</f>
        <v>53.84</v>
      </c>
      <c r="C10" s="17">
        <f>Inputs!$B$79</f>
        <v>0.5</v>
      </c>
      <c r="D10" s="17">
        <f>Inputs!$B$80</f>
        <v>0.6</v>
      </c>
      <c r="E10" s="17">
        <f>Inputs!$B$81</f>
        <v>0.7</v>
      </c>
      <c r="F10" s="18">
        <f>IF($B$3="Low",C10,IF($B$3="High",E10,D10))</f>
        <v>0.6</v>
      </c>
      <c r="G10" s="19">
        <f>P10*F10*L10</f>
        <v>33.609081600000003</v>
      </c>
      <c r="H10" s="13">
        <f>Inputs!B40*M10</f>
        <v>50</v>
      </c>
      <c r="I10" s="19">
        <f>J10*H10+(1-J10)*G10</f>
        <v>50</v>
      </c>
      <c r="J10" s="18">
        <f>IF(AND($B$4="Yes",K10=1),Inputs!$B$43,0)</f>
        <v>1</v>
      </c>
      <c r="K10" s="20">
        <f>IF(AND(A10&gt;=Inputs!$B$9,A10&lt;Inputs!$B$9+Inputs!$B$44),1,0)</f>
        <v>1</v>
      </c>
      <c r="L10" s="21">
        <f>(1+Inputs!$B$63)^(A10-$A$8)</f>
        <v>1.0404</v>
      </c>
      <c r="M10" s="21">
        <f>IF(Inputs!$B$64="Yes",L10,1)</f>
        <v>1</v>
      </c>
      <c r="N10" s="16">
        <f>IF($A10&gt;=$R$12,T$12,INDEX(T$8:T$12,MATCH($A10,$R$8:$R$12,1))+(INDEX(T$8:T$12,MATCH($A10,$R$8:$R$12,1)+1)-INDEX(T$8:T$12,MATCH($A10,$R$8:$R$12,1)))*($A10-INDEX($R$8:$R$12,MATCH($A10,$R$8:$R$12,1)))/(INDEX($R$8:$R$12,MATCH($A10,$R$8:$R$12,1)+1)-INDEX($R$8:$R$12,MATCH($A10,$R$8:$R$12,1))))</f>
        <v>53.84</v>
      </c>
      <c r="O10" s="16">
        <f>IF($A10&gt;=$R$12,U$12,INDEX(U$8:U$12,MATCH($A10,$R$8:$R$12,1))+(INDEX(U$8:U$12,MATCH($A10,$R$8:$R$12,1)+1)-INDEX(U$8:U$12,MATCH($A10,$R$8:$R$12,1)))*($A10-INDEX($R$8:$R$12,MATCH($A10,$R$8:$R$12,1)))/(INDEX($R$8:$R$12,MATCH($A10,$R$8:$R$12,1)+1)-INDEX($R$8:$R$12,MATCH($A10,$R$8:$R$12,1))))</f>
        <v>53.84</v>
      </c>
      <c r="P10" s="22">
        <f>IF($B$5="Low",N10,IF($B$5="High",O10,B10))</f>
        <v>53.84</v>
      </c>
      <c r="R10" s="60">
        <v>2030</v>
      </c>
      <c r="S10" s="22">
        <f>Inputs!$B$70</f>
        <v>48.67</v>
      </c>
      <c r="T10" s="22">
        <f>Inputs!$B$73</f>
        <v>34.700000000000003</v>
      </c>
      <c r="U10" s="22">
        <f>Inputs!$B$76</f>
        <v>56.6</v>
      </c>
      <c r="V10" s="60" t="s">
        <v>257</v>
      </c>
    </row>
    <row r="11" spans="1:22" ht="15" customHeight="1">
      <c r="A11" s="60">
        <v>2029</v>
      </c>
      <c r="B11" s="16">
        <f>IF($A11&gt;=$R$12,S$12,INDEX(S$8:S$12,MATCH($A11,$R$8:$R$12,1))+(INDEX(S$8:S$12,MATCH($A11,$R$8:$R$12,1)+1)-INDEX(S$8:S$12,MATCH($A11,$R$8:$R$12,1)))*($A11-INDEX($R$8:$R$12,MATCH($A11,$R$8:$R$12,1)))/(INDEX($R$8:$R$12,MATCH($A11,$R$8:$R$12,1)+1)-INDEX($R$8:$R$12,MATCH($A11,$R$8:$R$12,1))))</f>
        <v>51.255000000000003</v>
      </c>
      <c r="C11" s="17">
        <f>Inputs!$B$79</f>
        <v>0.5</v>
      </c>
      <c r="D11" s="17">
        <f>Inputs!$B$80</f>
        <v>0.6</v>
      </c>
      <c r="E11" s="17">
        <f>Inputs!$B$81</f>
        <v>0.7</v>
      </c>
      <c r="F11" s="18">
        <f>IF($B$3="Low",C11,IF($B$3="High",E11,D11))</f>
        <v>0.6</v>
      </c>
      <c r="G11" s="19">
        <f>P11*F11*L11</f>
        <v>32.635329624000001</v>
      </c>
      <c r="H11" s="13">
        <f>Inputs!B40*M11</f>
        <v>50</v>
      </c>
      <c r="I11" s="19">
        <f>J11*H11+(1-J11)*G11</f>
        <v>50</v>
      </c>
      <c r="J11" s="18">
        <f>IF(AND($B$4="Yes",K11=1),Inputs!$B$43,0)</f>
        <v>1</v>
      </c>
      <c r="K11" s="20">
        <f>IF(AND(A11&gt;=Inputs!$B$9,A11&lt;Inputs!$B$9+Inputs!$B$44),1,0)</f>
        <v>1</v>
      </c>
      <c r="L11" s="21">
        <f>(1+Inputs!$B$63)^(A11-$A$8)</f>
        <v>1.0612079999999999</v>
      </c>
      <c r="M11" s="21">
        <f>IF(Inputs!$B$64="Yes",L11,1)</f>
        <v>1</v>
      </c>
      <c r="N11" s="16">
        <f>IF($A11&gt;=$R$12,T$12,INDEX(T$8:T$12,MATCH($A11,$R$8:$R$12,1))+(INDEX(T$8:T$12,MATCH($A11,$R$8:$R$12,1)+1)-INDEX(T$8:T$12,MATCH($A11,$R$8:$R$12,1)))*($A11-INDEX($R$8:$R$12,MATCH($A11,$R$8:$R$12,1)))/(INDEX($R$8:$R$12,MATCH($A11,$R$8:$R$12,1)+1)-INDEX($R$8:$R$12,MATCH($A11,$R$8:$R$12,1))))</f>
        <v>44.27</v>
      </c>
      <c r="O11" s="16">
        <f>IF($A11&gt;=$R$12,U$12,INDEX(U$8:U$12,MATCH($A11,$R$8:$R$12,1))+(INDEX(U$8:U$12,MATCH($A11,$R$8:$R$12,1)+1)-INDEX(U$8:U$12,MATCH($A11,$R$8:$R$12,1)))*($A11-INDEX($R$8:$R$12,MATCH($A11,$R$8:$R$12,1)))/(INDEX($R$8:$R$12,MATCH($A11,$R$8:$R$12,1)+1)-INDEX($R$8:$R$12,MATCH($A11,$R$8:$R$12,1))))</f>
        <v>55.22</v>
      </c>
      <c r="P11" s="22">
        <f>IF($B$5="Low",N11,IF($B$5="High",O11,B11))</f>
        <v>51.255000000000003</v>
      </c>
      <c r="R11" s="60">
        <v>2040</v>
      </c>
      <c r="S11" s="22">
        <f>Inputs!$B$71</f>
        <v>39.799999999999997</v>
      </c>
      <c r="T11" s="22">
        <f>Inputs!$B$74</f>
        <v>32.6</v>
      </c>
      <c r="U11" s="22">
        <f>Inputs!$B$77</f>
        <v>56.6</v>
      </c>
      <c r="V11" s="60" t="s">
        <v>258</v>
      </c>
    </row>
    <row r="12" spans="1:22" ht="15" customHeight="1">
      <c r="A12" s="60">
        <v>2030</v>
      </c>
      <c r="B12" s="16">
        <f>IF($A12&gt;=$R$12,S$12,INDEX(S$8:S$12,MATCH($A12,$R$8:$R$12,1))+(INDEX(S$8:S$12,MATCH($A12,$R$8:$R$12,1)+1)-INDEX(S$8:S$12,MATCH($A12,$R$8:$R$12,1)))*($A12-INDEX($R$8:$R$12,MATCH($A12,$R$8:$R$12,1)))/(INDEX($R$8:$R$12,MATCH($A12,$R$8:$R$12,1)+1)-INDEX($R$8:$R$12,MATCH($A12,$R$8:$R$12,1))))</f>
        <v>48.67</v>
      </c>
      <c r="C12" s="17">
        <f>Inputs!$B$79</f>
        <v>0.5</v>
      </c>
      <c r="D12" s="17">
        <f>Inputs!$B$80</f>
        <v>0.6</v>
      </c>
      <c r="E12" s="17">
        <f>Inputs!$B$81</f>
        <v>0.7</v>
      </c>
      <c r="F12" s="18">
        <f>IF($B$3="Low",C12,IF($B$3="High",E12,D12))</f>
        <v>0.6</v>
      </c>
      <c r="G12" s="19">
        <f>P12*F12*L12</f>
        <v>31.609183936319997</v>
      </c>
      <c r="H12" s="13">
        <f>Inputs!B40*M12</f>
        <v>50</v>
      </c>
      <c r="I12" s="19">
        <f>J12*H12+(1-J12)*G12</f>
        <v>50</v>
      </c>
      <c r="J12" s="18">
        <f>IF(AND($B$4="Yes",K12=1),Inputs!$B$43,0)</f>
        <v>1</v>
      </c>
      <c r="K12" s="20">
        <f>IF(AND(A12&gt;=Inputs!$B$9,A12&lt;Inputs!$B$9+Inputs!$B$44),1,0)</f>
        <v>1</v>
      </c>
      <c r="L12" s="21">
        <f>(1+Inputs!$B$63)^(A12-$A$8)</f>
        <v>1.08243216</v>
      </c>
      <c r="M12" s="21">
        <f>IF(Inputs!$B$64="Yes",L12,1)</f>
        <v>1</v>
      </c>
      <c r="N12" s="16">
        <f>IF($A12&gt;=$R$12,T$12,INDEX(T$8:T$12,MATCH($A12,$R$8:$R$12,1))+(INDEX(T$8:T$12,MATCH($A12,$R$8:$R$12,1)+1)-INDEX(T$8:T$12,MATCH($A12,$R$8:$R$12,1)))*($A12-INDEX($R$8:$R$12,MATCH($A12,$R$8:$R$12,1)))/(INDEX($R$8:$R$12,MATCH($A12,$R$8:$R$12,1)+1)-INDEX($R$8:$R$12,MATCH($A12,$R$8:$R$12,1))))</f>
        <v>34.700000000000003</v>
      </c>
      <c r="O12" s="16">
        <f>IF($A12&gt;=$R$12,U$12,INDEX(U$8:U$12,MATCH($A12,$R$8:$R$12,1))+(INDEX(U$8:U$12,MATCH($A12,$R$8:$R$12,1)+1)-INDEX(U$8:U$12,MATCH($A12,$R$8:$R$12,1)))*($A12-INDEX($R$8:$R$12,MATCH($A12,$R$8:$R$12,1)))/(INDEX($R$8:$R$12,MATCH($A12,$R$8:$R$12,1)+1)-INDEX($R$8:$R$12,MATCH($A12,$R$8:$R$12,1))))</f>
        <v>56.6</v>
      </c>
      <c r="P12" s="22">
        <f>IF($B$5="Low",N12,IF($B$5="High",O12,B12))</f>
        <v>48.67</v>
      </c>
      <c r="R12" s="60">
        <v>2050</v>
      </c>
      <c r="S12" s="22">
        <f>Inputs!$B$72</f>
        <v>45.6</v>
      </c>
      <c r="T12" s="22">
        <f>Inputs!$B$75</f>
        <v>37.4</v>
      </c>
      <c r="U12" s="22">
        <f>Inputs!$B$78</f>
        <v>56.6</v>
      </c>
      <c r="V12" s="60" t="s">
        <v>259</v>
      </c>
    </row>
    <row r="13" spans="1:22" ht="15" customHeight="1">
      <c r="A13" s="60">
        <v>2031</v>
      </c>
      <c r="B13" s="16">
        <f>IF($A13&gt;=$R$12,S$12,INDEX(S$8:S$12,MATCH($A13,$R$8:$R$12,1))+(INDEX(S$8:S$12,MATCH($A13,$R$8:$R$12,1)+1)-INDEX(S$8:S$12,MATCH($A13,$R$8:$R$12,1)))*($A13-INDEX($R$8:$R$12,MATCH($A13,$R$8:$R$12,1)))/(INDEX($R$8:$R$12,MATCH($A13,$R$8:$R$12,1)+1)-INDEX($R$8:$R$12,MATCH($A13,$R$8:$R$12,1))))</f>
        <v>47.783000000000001</v>
      </c>
      <c r="C13" s="17">
        <f>Inputs!$B$79</f>
        <v>0.5</v>
      </c>
      <c r="D13" s="17">
        <f>Inputs!$B$80</f>
        <v>0.6</v>
      </c>
      <c r="E13" s="17">
        <f>Inputs!$B$81</f>
        <v>0.7</v>
      </c>
      <c r="F13" s="18">
        <f>IF($B$3="Low",C13,IF($B$3="High",E13,D13))</f>
        <v>0.6</v>
      </c>
      <c r="G13" s="19">
        <f>P13*F13*L13</f>
        <v>31.653775811583358</v>
      </c>
      <c r="H13" s="13">
        <f>Inputs!B40*M13</f>
        <v>50</v>
      </c>
      <c r="I13" s="19">
        <f>J13*H13+(1-J13)*G13</f>
        <v>50</v>
      </c>
      <c r="J13" s="18">
        <f>IF(AND($B$4="Yes",K13=1),Inputs!$B$43,0)</f>
        <v>1</v>
      </c>
      <c r="K13" s="20">
        <f>IF(AND(A13&gt;=Inputs!$B$9,A13&lt;Inputs!$B$9+Inputs!$B$44),1,0)</f>
        <v>1</v>
      </c>
      <c r="L13" s="21">
        <f>(1+Inputs!$B$63)^(A13-$A$8)</f>
        <v>1.1040808032</v>
      </c>
      <c r="M13" s="21">
        <f>IF(Inputs!$B$64="Yes",L13,1)</f>
        <v>1</v>
      </c>
      <c r="N13" s="16">
        <f>IF($A13&gt;=$R$12,T$12,INDEX(T$8:T$12,MATCH($A13,$R$8:$R$12,1))+(INDEX(T$8:T$12,MATCH($A13,$R$8:$R$12,1)+1)-INDEX(T$8:T$12,MATCH($A13,$R$8:$R$12,1)))*($A13-INDEX($R$8:$R$12,MATCH($A13,$R$8:$R$12,1)))/(INDEX($R$8:$R$12,MATCH($A13,$R$8:$R$12,1)+1)-INDEX($R$8:$R$12,MATCH($A13,$R$8:$R$12,1))))</f>
        <v>34.49</v>
      </c>
      <c r="O13" s="16">
        <f>IF($A13&gt;=$R$12,U$12,INDEX(U$8:U$12,MATCH($A13,$R$8:$R$12,1))+(INDEX(U$8:U$12,MATCH($A13,$R$8:$R$12,1)+1)-INDEX(U$8:U$12,MATCH($A13,$R$8:$R$12,1)))*($A13-INDEX($R$8:$R$12,MATCH($A13,$R$8:$R$12,1)))/(INDEX($R$8:$R$12,MATCH($A13,$R$8:$R$12,1)+1)-INDEX($R$8:$R$12,MATCH($A13,$R$8:$R$12,1))))</f>
        <v>56.6</v>
      </c>
      <c r="P13" s="22">
        <f>IF($B$5="Low",N13,IF($B$5="High",O13,B13))</f>
        <v>47.783000000000001</v>
      </c>
    </row>
    <row r="14" spans="1:22" ht="15" customHeight="1">
      <c r="A14" s="60">
        <v>2032</v>
      </c>
      <c r="B14" s="16">
        <f>IF($A14&gt;=$R$12,S$12,INDEX(S$8:S$12,MATCH($A14,$R$8:$R$12,1))+(INDEX(S$8:S$12,MATCH($A14,$R$8:$R$12,1)+1)-INDEX(S$8:S$12,MATCH($A14,$R$8:$R$12,1)))*($A14-INDEX($R$8:$R$12,MATCH($A14,$R$8:$R$12,1)))/(INDEX($R$8:$R$12,MATCH($A14,$R$8:$R$12,1)+1)-INDEX($R$8:$R$12,MATCH($A14,$R$8:$R$12,1))))</f>
        <v>46.896000000000001</v>
      </c>
      <c r="C14" s="17">
        <f>Inputs!$B$79</f>
        <v>0.5</v>
      </c>
      <c r="D14" s="17">
        <f>Inputs!$B$80</f>
        <v>0.6</v>
      </c>
      <c r="E14" s="17">
        <f>Inputs!$B$81</f>
        <v>0.7</v>
      </c>
      <c r="F14" s="18">
        <f>IF($B$3="Low",C14,IF($B$3="High",E14,D14))</f>
        <v>0.6</v>
      </c>
      <c r="G14" s="19">
        <f>P14*F14*L14</f>
        <v>31.687507688282729</v>
      </c>
      <c r="H14" s="13">
        <f>Inputs!B40*M14</f>
        <v>50</v>
      </c>
      <c r="I14" s="19">
        <f>J14*H14+(1-J14)*G14</f>
        <v>50</v>
      </c>
      <c r="J14" s="18">
        <f>IF(AND($B$4="Yes",K14=1),Inputs!$B$43,0)</f>
        <v>1</v>
      </c>
      <c r="K14" s="20">
        <f>IF(AND(A14&gt;=Inputs!$B$9,A14&lt;Inputs!$B$9+Inputs!$B$44),1,0)</f>
        <v>1</v>
      </c>
      <c r="L14" s="21">
        <f>(1+Inputs!$B$63)^(A14-$A$8)</f>
        <v>1.1261624192640001</v>
      </c>
      <c r="M14" s="21">
        <f>IF(Inputs!$B$64="Yes",L14,1)</f>
        <v>1</v>
      </c>
      <c r="N14" s="16">
        <f>IF($A14&gt;=$R$12,T$12,INDEX(T$8:T$12,MATCH($A14,$R$8:$R$12,1))+(INDEX(T$8:T$12,MATCH($A14,$R$8:$R$12,1)+1)-INDEX(T$8:T$12,MATCH($A14,$R$8:$R$12,1)))*($A14-INDEX($R$8:$R$12,MATCH($A14,$R$8:$R$12,1)))/(INDEX($R$8:$R$12,MATCH($A14,$R$8:$R$12,1)+1)-INDEX($R$8:$R$12,MATCH($A14,$R$8:$R$12,1))))</f>
        <v>34.28</v>
      </c>
      <c r="O14" s="16">
        <f>IF($A14&gt;=$R$12,U$12,INDEX(U$8:U$12,MATCH($A14,$R$8:$R$12,1))+(INDEX(U$8:U$12,MATCH($A14,$R$8:$R$12,1)+1)-INDEX(U$8:U$12,MATCH($A14,$R$8:$R$12,1)))*($A14-INDEX($R$8:$R$12,MATCH($A14,$R$8:$R$12,1)))/(INDEX($R$8:$R$12,MATCH($A14,$R$8:$R$12,1)+1)-INDEX($R$8:$R$12,MATCH($A14,$R$8:$R$12,1))))</f>
        <v>56.6</v>
      </c>
      <c r="P14" s="22">
        <f>IF($B$5="Low",N14,IF($B$5="High",O14,B14))</f>
        <v>46.896000000000001</v>
      </c>
    </row>
    <row r="15" spans="1:22" ht="15" customHeight="1">
      <c r="A15" s="60">
        <v>2033</v>
      </c>
      <c r="B15" s="16">
        <f>IF($A15&gt;=$R$12,S$12,INDEX(S$8:S$12,MATCH($A15,$R$8:$R$12,1))+(INDEX(S$8:S$12,MATCH($A15,$R$8:$R$12,1)+1)-INDEX(S$8:S$12,MATCH($A15,$R$8:$R$12,1)))*($A15-INDEX($R$8:$R$12,MATCH($A15,$R$8:$R$12,1)))/(INDEX($R$8:$R$12,MATCH($A15,$R$8:$R$12,1)+1)-INDEX($R$8:$R$12,MATCH($A15,$R$8:$R$12,1))))</f>
        <v>46.009</v>
      </c>
      <c r="C15" s="17">
        <f>Inputs!$B$79</f>
        <v>0.5</v>
      </c>
      <c r="D15" s="17">
        <f>Inputs!$B$80</f>
        <v>0.6</v>
      </c>
      <c r="E15" s="17">
        <f>Inputs!$B$81</f>
        <v>0.7</v>
      </c>
      <c r="F15" s="18">
        <f>IF($B$3="Low",C15,IF($B$3="High",E15,D15))</f>
        <v>0.6</v>
      </c>
      <c r="G15" s="19">
        <f>P15*F15*L15</f>
        <v>31.709927329725428</v>
      </c>
      <c r="H15" s="13">
        <f>Inputs!B40*M15</f>
        <v>50</v>
      </c>
      <c r="I15" s="19">
        <f>J15*H15+(1-J15)*G15</f>
        <v>50</v>
      </c>
      <c r="J15" s="18">
        <f>IF(AND($B$4="Yes",K15=1),Inputs!$B$43,0)</f>
        <v>1</v>
      </c>
      <c r="K15" s="20">
        <f>IF(AND(A15&gt;=Inputs!$B$9,A15&lt;Inputs!$B$9+Inputs!$B$44),1,0)</f>
        <v>1</v>
      </c>
      <c r="L15" s="21">
        <f>(1+Inputs!$B$63)^(A15-$A$8)</f>
        <v>1.1486856676492798</v>
      </c>
      <c r="M15" s="21">
        <f>IF(Inputs!$B$64="Yes",L15,1)</f>
        <v>1</v>
      </c>
      <c r="N15" s="16">
        <f>IF($A15&gt;=$R$12,T$12,INDEX(T$8:T$12,MATCH($A15,$R$8:$R$12,1))+(INDEX(T$8:T$12,MATCH($A15,$R$8:$R$12,1)+1)-INDEX(T$8:T$12,MATCH($A15,$R$8:$R$12,1)))*($A15-INDEX($R$8:$R$12,MATCH($A15,$R$8:$R$12,1)))/(INDEX($R$8:$R$12,MATCH($A15,$R$8:$R$12,1)+1)-INDEX($R$8:$R$12,MATCH($A15,$R$8:$R$12,1))))</f>
        <v>34.07</v>
      </c>
      <c r="O15" s="16">
        <f>IF($A15&gt;=$R$12,U$12,INDEX(U$8:U$12,MATCH($A15,$R$8:$R$12,1))+(INDEX(U$8:U$12,MATCH($A15,$R$8:$R$12,1)+1)-INDEX(U$8:U$12,MATCH($A15,$R$8:$R$12,1)))*($A15-INDEX($R$8:$R$12,MATCH($A15,$R$8:$R$12,1)))/(INDEX($R$8:$R$12,MATCH($A15,$R$8:$R$12,1)+1)-INDEX($R$8:$R$12,MATCH($A15,$R$8:$R$12,1))))</f>
        <v>56.6</v>
      </c>
      <c r="P15" s="22">
        <f>IF($B$5="Low",N15,IF($B$5="High",O15,B15))</f>
        <v>46.009</v>
      </c>
    </row>
    <row r="16" spans="1:22" ht="15" customHeight="1">
      <c r="A16" s="60">
        <v>2034</v>
      </c>
      <c r="B16" s="16">
        <f>IF($A16&gt;=$R$12,S$12,INDEX(S$8:S$12,MATCH($A16,$R$8:$R$12,1))+(INDEX(S$8:S$12,MATCH($A16,$R$8:$R$12,1)+1)-INDEX(S$8:S$12,MATCH($A16,$R$8:$R$12,1)))*($A16-INDEX($R$8:$R$12,MATCH($A16,$R$8:$R$12,1)))/(INDEX($R$8:$R$12,MATCH($A16,$R$8:$R$12,1)+1)-INDEX($R$8:$R$12,MATCH($A16,$R$8:$R$12,1))))</f>
        <v>45.122</v>
      </c>
      <c r="C16" s="17">
        <f>Inputs!$B$79</f>
        <v>0.5</v>
      </c>
      <c r="D16" s="17">
        <f>Inputs!$B$80</f>
        <v>0.6</v>
      </c>
      <c r="E16" s="17">
        <f>Inputs!$B$81</f>
        <v>0.7</v>
      </c>
      <c r="F16" s="18">
        <f>IF($B$3="Low",C16,IF($B$3="High",E16,D16))</f>
        <v>0.6</v>
      </c>
      <c r="G16" s="19">
        <f>P16*F16*L16</f>
        <v>31.720568753750534</v>
      </c>
      <c r="H16" s="13">
        <f>Inputs!B40*M16</f>
        <v>50</v>
      </c>
      <c r="I16" s="19">
        <f>J16*H16+(1-J16)*G16</f>
        <v>50</v>
      </c>
      <c r="J16" s="18">
        <f>IF(AND($B$4="Yes",K16=1),Inputs!$B$43,0)</f>
        <v>1</v>
      </c>
      <c r="K16" s="20">
        <f>IF(AND(A16&gt;=Inputs!$B$9,A16&lt;Inputs!$B$9+Inputs!$B$44),1,0)</f>
        <v>1</v>
      </c>
      <c r="L16" s="21">
        <f>(1+Inputs!$B$63)^(A16-$A$8)</f>
        <v>1.1716593810022655</v>
      </c>
      <c r="M16" s="21">
        <f>IF(Inputs!$B$64="Yes",L16,1)</f>
        <v>1</v>
      </c>
      <c r="N16" s="16">
        <f>IF($A16&gt;=$R$12,T$12,INDEX(T$8:T$12,MATCH($A16,$R$8:$R$12,1))+(INDEX(T$8:T$12,MATCH($A16,$R$8:$R$12,1)+1)-INDEX(T$8:T$12,MATCH($A16,$R$8:$R$12,1)))*($A16-INDEX($R$8:$R$12,MATCH($A16,$R$8:$R$12,1)))/(INDEX($R$8:$R$12,MATCH($A16,$R$8:$R$12,1)+1)-INDEX($R$8:$R$12,MATCH($A16,$R$8:$R$12,1))))</f>
        <v>33.86</v>
      </c>
      <c r="O16" s="16">
        <f>IF($A16&gt;=$R$12,U$12,INDEX(U$8:U$12,MATCH($A16,$R$8:$R$12,1))+(INDEX(U$8:U$12,MATCH($A16,$R$8:$R$12,1)+1)-INDEX(U$8:U$12,MATCH($A16,$R$8:$R$12,1)))*($A16-INDEX($R$8:$R$12,MATCH($A16,$R$8:$R$12,1)))/(INDEX($R$8:$R$12,MATCH($A16,$R$8:$R$12,1)+1)-INDEX($R$8:$R$12,MATCH($A16,$R$8:$R$12,1))))</f>
        <v>56.6</v>
      </c>
      <c r="P16" s="22">
        <f>IF($B$5="Low",N16,IF($B$5="High",O16,B16))</f>
        <v>45.122</v>
      </c>
    </row>
    <row r="17" spans="1:16" ht="15" customHeight="1">
      <c r="A17" s="60">
        <v>2035</v>
      </c>
      <c r="B17" s="16">
        <f>IF($A17&gt;=$R$12,S$12,INDEX(S$8:S$12,MATCH($A17,$R$8:$R$12,1))+(INDEX(S$8:S$12,MATCH($A17,$R$8:$R$12,1)+1)-INDEX(S$8:S$12,MATCH($A17,$R$8:$R$12,1)))*($A17-INDEX($R$8:$R$12,MATCH($A17,$R$8:$R$12,1)))/(INDEX($R$8:$R$12,MATCH($A17,$R$8:$R$12,1)+1)-INDEX($R$8:$R$12,MATCH($A17,$R$8:$R$12,1))))</f>
        <v>44.234999999999999</v>
      </c>
      <c r="C17" s="17">
        <f>Inputs!$B$79</f>
        <v>0.5</v>
      </c>
      <c r="D17" s="17">
        <f>Inputs!$B$80</f>
        <v>0.6</v>
      </c>
      <c r="E17" s="17">
        <f>Inputs!$B$81</f>
        <v>0.7</v>
      </c>
      <c r="F17" s="18">
        <f>IF($B$3="Low",C17,IF($B$3="High",E17,D17))</f>
        <v>0.6</v>
      </c>
      <c r="G17" s="19">
        <f>P17*F17*L17</f>
        <v>31.718951863804751</v>
      </c>
      <c r="H17" s="13">
        <f>Inputs!B40*M17</f>
        <v>50</v>
      </c>
      <c r="I17" s="19">
        <f>J17*H17+(1-J17)*G17</f>
        <v>50</v>
      </c>
      <c r="J17" s="18">
        <f>IF(AND($B$4="Yes",K17=1),Inputs!$B$43,0)</f>
        <v>1</v>
      </c>
      <c r="K17" s="20">
        <f>IF(AND(A17&gt;=Inputs!$B$9,A17&lt;Inputs!$B$9+Inputs!$B$44),1,0)</f>
        <v>1</v>
      </c>
      <c r="L17" s="21">
        <f>(1+Inputs!$B$63)^(A17-$A$8)</f>
        <v>1.1950925686223108</v>
      </c>
      <c r="M17" s="21">
        <f>IF(Inputs!$B$64="Yes",L17,1)</f>
        <v>1</v>
      </c>
      <c r="N17" s="16">
        <f>IF($A17&gt;=$R$12,T$12,INDEX(T$8:T$12,MATCH($A17,$R$8:$R$12,1))+(INDEX(T$8:T$12,MATCH($A17,$R$8:$R$12,1)+1)-INDEX(T$8:T$12,MATCH($A17,$R$8:$R$12,1)))*($A17-INDEX($R$8:$R$12,MATCH($A17,$R$8:$R$12,1)))/(INDEX($R$8:$R$12,MATCH($A17,$R$8:$R$12,1)+1)-INDEX($R$8:$R$12,MATCH($A17,$R$8:$R$12,1))))</f>
        <v>33.650000000000006</v>
      </c>
      <c r="O17" s="16">
        <f>IF($A17&gt;=$R$12,U$12,INDEX(U$8:U$12,MATCH($A17,$R$8:$R$12,1))+(INDEX(U$8:U$12,MATCH($A17,$R$8:$R$12,1)+1)-INDEX(U$8:U$12,MATCH($A17,$R$8:$R$12,1)))*($A17-INDEX($R$8:$R$12,MATCH($A17,$R$8:$R$12,1)))/(INDEX($R$8:$R$12,MATCH($A17,$R$8:$R$12,1)+1)-INDEX($R$8:$R$12,MATCH($A17,$R$8:$R$12,1))))</f>
        <v>56.6</v>
      </c>
      <c r="P17" s="22">
        <f>IF($B$5="Low",N17,IF($B$5="High",O17,B17))</f>
        <v>44.234999999999999</v>
      </c>
    </row>
    <row r="18" spans="1:16" ht="15" customHeight="1">
      <c r="A18" s="60">
        <v>2036</v>
      </c>
      <c r="B18" s="16">
        <f>IF($A18&gt;=$R$12,S$12,INDEX(S$8:S$12,MATCH($A18,$R$8:$R$12,1))+(INDEX(S$8:S$12,MATCH($A18,$R$8:$R$12,1)+1)-INDEX(S$8:S$12,MATCH($A18,$R$8:$R$12,1)))*($A18-INDEX($R$8:$R$12,MATCH($A18,$R$8:$R$12,1)))/(INDEX($R$8:$R$12,MATCH($A18,$R$8:$R$12,1)+1)-INDEX($R$8:$R$12,MATCH($A18,$R$8:$R$12,1))))</f>
        <v>43.347999999999999</v>
      </c>
      <c r="C18" s="17">
        <f>Inputs!$B$79</f>
        <v>0.5</v>
      </c>
      <c r="D18" s="17">
        <f>Inputs!$B$80</f>
        <v>0.6</v>
      </c>
      <c r="E18" s="17">
        <f>Inputs!$B$81</f>
        <v>0.7</v>
      </c>
      <c r="F18" s="18">
        <f>IF($B$3="Low",C18,IF($B$3="High",E18,D18))</f>
        <v>0.6</v>
      </c>
      <c r="G18" s="19">
        <f>P18*F18*L18</f>
        <v>31.704582070759635</v>
      </c>
      <c r="H18" s="13">
        <f>Inputs!B40*M18</f>
        <v>50</v>
      </c>
      <c r="I18" s="19">
        <f>J18*H18+(1-J18)*G18</f>
        <v>50</v>
      </c>
      <c r="J18" s="18">
        <f>IF(AND($B$4="Yes",K18=1),Inputs!$B$43,0)</f>
        <v>1</v>
      </c>
      <c r="K18" s="20">
        <f>IF(AND(A18&gt;=Inputs!$B$9,A18&lt;Inputs!$B$9+Inputs!$B$44),1,0)</f>
        <v>1</v>
      </c>
      <c r="L18" s="21">
        <f>(1+Inputs!$B$63)^(A18-$A$8)</f>
        <v>1.2189944199947571</v>
      </c>
      <c r="M18" s="21">
        <f>IF(Inputs!$B$64="Yes",L18,1)</f>
        <v>1</v>
      </c>
      <c r="N18" s="16">
        <f>IF($A18&gt;=$R$12,T$12,INDEX(T$8:T$12,MATCH($A18,$R$8:$R$12,1))+(INDEX(T$8:T$12,MATCH($A18,$R$8:$R$12,1)+1)-INDEX(T$8:T$12,MATCH($A18,$R$8:$R$12,1)))*($A18-INDEX($R$8:$R$12,MATCH($A18,$R$8:$R$12,1)))/(INDEX($R$8:$R$12,MATCH($A18,$R$8:$R$12,1)+1)-INDEX($R$8:$R$12,MATCH($A18,$R$8:$R$12,1))))</f>
        <v>33.440000000000005</v>
      </c>
      <c r="O18" s="16">
        <f>IF($A18&gt;=$R$12,U$12,INDEX(U$8:U$12,MATCH($A18,$R$8:$R$12,1))+(INDEX(U$8:U$12,MATCH($A18,$R$8:$R$12,1)+1)-INDEX(U$8:U$12,MATCH($A18,$R$8:$R$12,1)))*($A18-INDEX($R$8:$R$12,MATCH($A18,$R$8:$R$12,1)))/(INDEX($R$8:$R$12,MATCH($A18,$R$8:$R$12,1)+1)-INDEX($R$8:$R$12,MATCH($A18,$R$8:$R$12,1))))</f>
        <v>56.6</v>
      </c>
      <c r="P18" s="22">
        <f>IF($B$5="Low",N18,IF($B$5="High",O18,B18))</f>
        <v>43.347999999999999</v>
      </c>
    </row>
    <row r="19" spans="1:16" ht="15" customHeight="1">
      <c r="A19" s="60">
        <v>2037</v>
      </c>
      <c r="B19" s="16">
        <f>IF($A19&gt;=$R$12,S$12,INDEX(S$8:S$12,MATCH($A19,$R$8:$R$12,1))+(INDEX(S$8:S$12,MATCH($A19,$R$8:$R$12,1)+1)-INDEX(S$8:S$12,MATCH($A19,$R$8:$R$12,1)))*($A19-INDEX($R$8:$R$12,MATCH($A19,$R$8:$R$12,1)))/(INDEX($R$8:$R$12,MATCH($A19,$R$8:$R$12,1)+1)-INDEX($R$8:$R$12,MATCH($A19,$R$8:$R$12,1))))</f>
        <v>42.460999999999999</v>
      </c>
      <c r="C19" s="17">
        <f>Inputs!$B$79</f>
        <v>0.5</v>
      </c>
      <c r="D19" s="17">
        <f>Inputs!$B$80</f>
        <v>0.6</v>
      </c>
      <c r="E19" s="17">
        <f>Inputs!$B$81</f>
        <v>0.7</v>
      </c>
      <c r="F19" s="18">
        <f>IF($B$3="Low",C19,IF($B$3="High",E19,D19))</f>
        <v>0.6</v>
      </c>
      <c r="G19" s="19">
        <f>P19*F19*L19</f>
        <v>31.676949905247188</v>
      </c>
      <c r="H19" s="13">
        <f>Inputs!B40*M19</f>
        <v>50</v>
      </c>
      <c r="I19" s="19">
        <f>J19*H19+(1-J19)*G19</f>
        <v>50</v>
      </c>
      <c r="J19" s="18">
        <f>IF(AND($B$4="Yes",K19=1),Inputs!$B$43,0)</f>
        <v>1</v>
      </c>
      <c r="K19" s="20">
        <f>IF(AND(A19&gt;=Inputs!$B$9,A19&lt;Inputs!$B$9+Inputs!$B$44),1,0)</f>
        <v>1</v>
      </c>
      <c r="L19" s="21">
        <f>(1+Inputs!$B$63)^(A19-$A$8)</f>
        <v>1.243374308394652</v>
      </c>
      <c r="M19" s="21">
        <f>IF(Inputs!$B$64="Yes",L19,1)</f>
        <v>1</v>
      </c>
      <c r="N19" s="16">
        <f>IF($A19&gt;=$R$12,T$12,INDEX(T$8:T$12,MATCH($A19,$R$8:$R$12,1))+(INDEX(T$8:T$12,MATCH($A19,$R$8:$R$12,1)+1)-INDEX(T$8:T$12,MATCH($A19,$R$8:$R$12,1)))*($A19-INDEX($R$8:$R$12,MATCH($A19,$R$8:$R$12,1)))/(INDEX($R$8:$R$12,MATCH($A19,$R$8:$R$12,1)+1)-INDEX($R$8:$R$12,MATCH($A19,$R$8:$R$12,1))))</f>
        <v>33.230000000000004</v>
      </c>
      <c r="O19" s="16">
        <f>IF($A19&gt;=$R$12,U$12,INDEX(U$8:U$12,MATCH($A19,$R$8:$R$12,1))+(INDEX(U$8:U$12,MATCH($A19,$R$8:$R$12,1)+1)-INDEX(U$8:U$12,MATCH($A19,$R$8:$R$12,1)))*($A19-INDEX($R$8:$R$12,MATCH($A19,$R$8:$R$12,1)))/(INDEX($R$8:$R$12,MATCH($A19,$R$8:$R$12,1)+1)-INDEX($R$8:$R$12,MATCH($A19,$R$8:$R$12,1))))</f>
        <v>56.6</v>
      </c>
      <c r="P19" s="22">
        <f>IF($B$5="Low",N19,IF($B$5="High",O19,B19))</f>
        <v>42.460999999999999</v>
      </c>
    </row>
    <row r="20" spans="1:16" ht="15" customHeight="1">
      <c r="A20" s="60">
        <v>2038</v>
      </c>
      <c r="B20" s="16">
        <f>IF($A20&gt;=$R$12,S$12,INDEX(S$8:S$12,MATCH($A20,$R$8:$R$12,1))+(INDEX(S$8:S$12,MATCH($A20,$R$8:$R$12,1)+1)-INDEX(S$8:S$12,MATCH($A20,$R$8:$R$12,1)))*($A20-INDEX($R$8:$R$12,MATCH($A20,$R$8:$R$12,1)))/(INDEX($R$8:$R$12,MATCH($A20,$R$8:$R$12,1)+1)-INDEX($R$8:$R$12,MATCH($A20,$R$8:$R$12,1))))</f>
        <v>41.573999999999998</v>
      </c>
      <c r="C20" s="17">
        <f>Inputs!$B$79</f>
        <v>0.5</v>
      </c>
      <c r="D20" s="17">
        <f>Inputs!$B$80</f>
        <v>0.6</v>
      </c>
      <c r="E20" s="17">
        <f>Inputs!$B$81</f>
        <v>0.7</v>
      </c>
      <c r="F20" s="18">
        <f>IF($B$3="Low",C20,IF($B$3="High",E20,D20))</f>
        <v>0.6</v>
      </c>
      <c r="G20" s="19">
        <f>P20*F20*L20</f>
        <v>31.635530620285952</v>
      </c>
      <c r="H20" s="13">
        <f>Inputs!B40*M20</f>
        <v>50</v>
      </c>
      <c r="I20" s="19">
        <f>J20*H20+(1-J20)*G20</f>
        <v>50</v>
      </c>
      <c r="J20" s="18">
        <f>IF(AND($B$4="Yes",K20=1),Inputs!$B$43,0)</f>
        <v>1</v>
      </c>
      <c r="K20" s="20">
        <f>IF(AND(A20&gt;=Inputs!$B$9,A20&lt;Inputs!$B$9+Inputs!$B$44),1,0)</f>
        <v>1</v>
      </c>
      <c r="L20" s="21">
        <f>(1+Inputs!$B$63)^(A20-$A$8)</f>
        <v>1.2682417945625453</v>
      </c>
      <c r="M20" s="21">
        <f>IF(Inputs!$B$64="Yes",L20,1)</f>
        <v>1</v>
      </c>
      <c r="N20" s="16">
        <f>IF($A20&gt;=$R$12,T$12,INDEX(T$8:T$12,MATCH($A20,$R$8:$R$12,1))+(INDEX(T$8:T$12,MATCH($A20,$R$8:$R$12,1)+1)-INDEX(T$8:T$12,MATCH($A20,$R$8:$R$12,1)))*($A20-INDEX($R$8:$R$12,MATCH($A20,$R$8:$R$12,1)))/(INDEX($R$8:$R$12,MATCH($A20,$R$8:$R$12,1)+1)-INDEX($R$8:$R$12,MATCH($A20,$R$8:$R$12,1))))</f>
        <v>33.020000000000003</v>
      </c>
      <c r="O20" s="16">
        <f>IF($A20&gt;=$R$12,U$12,INDEX(U$8:U$12,MATCH($A20,$R$8:$R$12,1))+(INDEX(U$8:U$12,MATCH($A20,$R$8:$R$12,1)+1)-INDEX(U$8:U$12,MATCH($A20,$R$8:$R$12,1)))*($A20-INDEX($R$8:$R$12,MATCH($A20,$R$8:$R$12,1)))/(INDEX($R$8:$R$12,MATCH($A20,$R$8:$R$12,1)+1)-INDEX($R$8:$R$12,MATCH($A20,$R$8:$R$12,1))))</f>
        <v>56.6</v>
      </c>
      <c r="P20" s="22">
        <f>IF($B$5="Low",N20,IF($B$5="High",O20,B20))</f>
        <v>41.573999999999998</v>
      </c>
    </row>
    <row r="21" spans="1:16" ht="15" customHeight="1">
      <c r="A21" s="60">
        <v>2039</v>
      </c>
      <c r="B21" s="16">
        <f>IF($A21&gt;=$R$12,S$12,INDEX(S$8:S$12,MATCH($A21,$R$8:$R$12,1))+(INDEX(S$8:S$12,MATCH($A21,$R$8:$R$12,1)+1)-INDEX(S$8:S$12,MATCH($A21,$R$8:$R$12,1)))*($A21-INDEX($R$8:$R$12,MATCH($A21,$R$8:$R$12,1)))/(INDEX($R$8:$R$12,MATCH($A21,$R$8:$R$12,1)+1)-INDEX($R$8:$R$12,MATCH($A21,$R$8:$R$12,1))))</f>
        <v>40.686999999999998</v>
      </c>
      <c r="C21" s="17">
        <f>Inputs!$B$79</f>
        <v>0.5</v>
      </c>
      <c r="D21" s="17">
        <f>Inputs!$B$80</f>
        <v>0.6</v>
      </c>
      <c r="E21" s="17">
        <f>Inputs!$B$81</f>
        <v>0.7</v>
      </c>
      <c r="F21" s="18">
        <f>IF($B$3="Low",C21,IF($B$3="High",E21,D21))</f>
        <v>0.6</v>
      </c>
      <c r="G21" s="19">
        <f>P21*F21*L21</f>
        <v>31.57978378396416</v>
      </c>
      <c r="H21" s="13">
        <f>Inputs!B40*M21</f>
        <v>50</v>
      </c>
      <c r="I21" s="19">
        <f>J21*H21+(1-J21)*G21</f>
        <v>50</v>
      </c>
      <c r="J21" s="18">
        <f>IF(AND($B$4="Yes",K21=1),Inputs!$B$43,0)</f>
        <v>1</v>
      </c>
      <c r="K21" s="20">
        <f>IF(AND(A21&gt;=Inputs!$B$9,A21&lt;Inputs!$B$9+Inputs!$B$44),1,0)</f>
        <v>1</v>
      </c>
      <c r="L21" s="21">
        <f>(1+Inputs!$B$63)^(A21-$A$8)</f>
        <v>1.2936066304537961</v>
      </c>
      <c r="M21" s="21">
        <f>IF(Inputs!$B$64="Yes",L21,1)</f>
        <v>1</v>
      </c>
      <c r="N21" s="16">
        <f>IF($A21&gt;=$R$12,T$12,INDEX(T$8:T$12,MATCH($A21,$R$8:$R$12,1))+(INDEX(T$8:T$12,MATCH($A21,$R$8:$R$12,1)+1)-INDEX(T$8:T$12,MATCH($A21,$R$8:$R$12,1)))*($A21-INDEX($R$8:$R$12,MATCH($A21,$R$8:$R$12,1)))/(INDEX($R$8:$R$12,MATCH($A21,$R$8:$R$12,1)+1)-INDEX($R$8:$R$12,MATCH($A21,$R$8:$R$12,1))))</f>
        <v>32.81</v>
      </c>
      <c r="O21" s="16">
        <f>IF($A21&gt;=$R$12,U$12,INDEX(U$8:U$12,MATCH($A21,$R$8:$R$12,1))+(INDEX(U$8:U$12,MATCH($A21,$R$8:$R$12,1)+1)-INDEX(U$8:U$12,MATCH($A21,$R$8:$R$12,1)))*($A21-INDEX($R$8:$R$12,MATCH($A21,$R$8:$R$12,1)))/(INDEX($R$8:$R$12,MATCH($A21,$R$8:$R$12,1)+1)-INDEX($R$8:$R$12,MATCH($A21,$R$8:$R$12,1))))</f>
        <v>56.6</v>
      </c>
      <c r="P21" s="22">
        <f>IF($B$5="Low",N21,IF($B$5="High",O21,B21))</f>
        <v>40.686999999999998</v>
      </c>
    </row>
    <row r="22" spans="1:16" ht="15" customHeight="1">
      <c r="A22" s="60">
        <v>2040</v>
      </c>
      <c r="B22" s="16">
        <f>IF($A22&gt;=$R$12,S$12,INDEX(S$8:S$12,MATCH($A22,$R$8:$R$12,1))+(INDEX(S$8:S$12,MATCH($A22,$R$8:$R$12,1)+1)-INDEX(S$8:S$12,MATCH($A22,$R$8:$R$12,1)))*($A22-INDEX($R$8:$R$12,MATCH($A22,$R$8:$R$12,1)))/(INDEX($R$8:$R$12,MATCH($A22,$R$8:$R$12,1)+1)-INDEX($R$8:$R$12,MATCH($A22,$R$8:$R$12,1))))</f>
        <v>39.799999999999997</v>
      </c>
      <c r="C22" s="17">
        <f>Inputs!$B$79</f>
        <v>0.5</v>
      </c>
      <c r="D22" s="17">
        <f>Inputs!$B$80</f>
        <v>0.6</v>
      </c>
      <c r="E22" s="17">
        <f>Inputs!$B$81</f>
        <v>0.7</v>
      </c>
      <c r="F22" s="18">
        <f>IF($B$3="Low",C22,IF($B$3="High",E22,D22))</f>
        <v>0.6</v>
      </c>
      <c r="G22" s="19">
        <f>P22*F22*L22</f>
        <v>31.509152861941384</v>
      </c>
      <c r="H22" s="13">
        <f>Inputs!B40*M22</f>
        <v>50</v>
      </c>
      <c r="I22" s="19">
        <f>J22*H22+(1-J22)*G22</f>
        <v>50</v>
      </c>
      <c r="J22" s="18">
        <f>IF(AND($B$4="Yes",K22=1),Inputs!$B$43,0)</f>
        <v>1</v>
      </c>
      <c r="K22" s="20">
        <f>IF(AND(A22&gt;=Inputs!$B$9,A22&lt;Inputs!$B$9+Inputs!$B$44),1,0)</f>
        <v>1</v>
      </c>
      <c r="L22" s="21">
        <f>(1+Inputs!$B$63)^(A22-$A$8)</f>
        <v>1.3194787630628722</v>
      </c>
      <c r="M22" s="21">
        <f>IF(Inputs!$B$64="Yes",L22,1)</f>
        <v>1</v>
      </c>
      <c r="N22" s="16">
        <f>IF($A22&gt;=$R$12,T$12,INDEX(T$8:T$12,MATCH($A22,$R$8:$R$12,1))+(INDEX(T$8:T$12,MATCH($A22,$R$8:$R$12,1)+1)-INDEX(T$8:T$12,MATCH($A22,$R$8:$R$12,1)))*($A22-INDEX($R$8:$R$12,MATCH($A22,$R$8:$R$12,1)))/(INDEX($R$8:$R$12,MATCH($A22,$R$8:$R$12,1)+1)-INDEX($R$8:$R$12,MATCH($A22,$R$8:$R$12,1))))</f>
        <v>32.6</v>
      </c>
      <c r="O22" s="16">
        <f>IF($A22&gt;=$R$12,U$12,INDEX(U$8:U$12,MATCH($A22,$R$8:$R$12,1))+(INDEX(U$8:U$12,MATCH($A22,$R$8:$R$12,1)+1)-INDEX(U$8:U$12,MATCH($A22,$R$8:$R$12,1)))*($A22-INDEX($R$8:$R$12,MATCH($A22,$R$8:$R$12,1)))/(INDEX($R$8:$R$12,MATCH($A22,$R$8:$R$12,1)+1)-INDEX($R$8:$R$12,MATCH($A22,$R$8:$R$12,1))))</f>
        <v>56.6</v>
      </c>
      <c r="P22" s="22">
        <f>IF($B$5="Low",N22,IF($B$5="High",O22,B22))</f>
        <v>39.799999999999997</v>
      </c>
    </row>
    <row r="23" spans="1:16" ht="15" customHeight="1">
      <c r="A23" s="60">
        <v>2041</v>
      </c>
      <c r="B23" s="16">
        <f>IF($A23&gt;=$R$12,S$12,INDEX(S$8:S$12,MATCH($A23,$R$8:$R$12,1))+(INDEX(S$8:S$12,MATCH($A23,$R$8:$R$12,1)+1)-INDEX(S$8:S$12,MATCH($A23,$R$8:$R$12,1)))*($A23-INDEX($R$8:$R$12,MATCH($A23,$R$8:$R$12,1)))/(INDEX($R$8:$R$12,MATCH($A23,$R$8:$R$12,1)+1)-INDEX($R$8:$R$12,MATCH($A23,$R$8:$R$12,1))))</f>
        <v>40.379999999999995</v>
      </c>
      <c r="C23" s="17">
        <f>Inputs!$B$79</f>
        <v>0.5</v>
      </c>
      <c r="D23" s="17">
        <f>Inputs!$B$80</f>
        <v>0.6</v>
      </c>
      <c r="E23" s="17">
        <f>Inputs!$B$81</f>
        <v>0.7</v>
      </c>
      <c r="F23" s="18">
        <f>IF($B$3="Low",C23,IF($B$3="High",E23,D23))</f>
        <v>0.6</v>
      </c>
      <c r="G23" s="19">
        <f>P23*F23*L23</f>
        <v>32.607698100916998</v>
      </c>
      <c r="H23" s="13">
        <f>Inputs!B40*M23</f>
        <v>50</v>
      </c>
      <c r="I23" s="19">
        <f>J23*H23+(1-J23)*G23</f>
        <v>50</v>
      </c>
      <c r="J23" s="18">
        <f>IF(AND($B$4="Yes",K23=1),Inputs!$B$43,0)</f>
        <v>1</v>
      </c>
      <c r="K23" s="20">
        <f>IF(AND(A23&gt;=Inputs!$B$9,A23&lt;Inputs!$B$9+Inputs!$B$44),1,0)</f>
        <v>1</v>
      </c>
      <c r="L23" s="21">
        <f>(1+Inputs!$B$63)^(A23-$A$8)</f>
        <v>1.3458683383241292</v>
      </c>
      <c r="M23" s="21">
        <f>IF(Inputs!$B$64="Yes",L23,1)</f>
        <v>1</v>
      </c>
      <c r="N23" s="16">
        <f>IF($A23&gt;=$R$12,T$12,INDEX(T$8:T$12,MATCH($A23,$R$8:$R$12,1))+(INDEX(T$8:T$12,MATCH($A23,$R$8:$R$12,1)+1)-INDEX(T$8:T$12,MATCH($A23,$R$8:$R$12,1)))*($A23-INDEX($R$8:$R$12,MATCH($A23,$R$8:$R$12,1)))/(INDEX($R$8:$R$12,MATCH($A23,$R$8:$R$12,1)+1)-INDEX($R$8:$R$12,MATCH($A23,$R$8:$R$12,1))))</f>
        <v>33.08</v>
      </c>
      <c r="O23" s="16">
        <f>IF($A23&gt;=$R$12,U$12,INDEX(U$8:U$12,MATCH($A23,$R$8:$R$12,1))+(INDEX(U$8:U$12,MATCH($A23,$R$8:$R$12,1)+1)-INDEX(U$8:U$12,MATCH($A23,$R$8:$R$12,1)))*($A23-INDEX($R$8:$R$12,MATCH($A23,$R$8:$R$12,1)))/(INDEX($R$8:$R$12,MATCH($A23,$R$8:$R$12,1)+1)-INDEX($R$8:$R$12,MATCH($A23,$R$8:$R$12,1))))</f>
        <v>56.6</v>
      </c>
      <c r="P23" s="22">
        <f>IF($B$5="Low",N23,IF($B$5="High",O23,B23))</f>
        <v>40.379999999999995</v>
      </c>
    </row>
    <row r="24" spans="1:16" ht="15" customHeight="1">
      <c r="A24" s="60">
        <v>2042</v>
      </c>
      <c r="B24" s="16">
        <f>IF($A24&gt;=$R$12,S$12,INDEX(S$8:S$12,MATCH($A24,$R$8:$R$12,1))+(INDEX(S$8:S$12,MATCH($A24,$R$8:$R$12,1)+1)-INDEX(S$8:S$12,MATCH($A24,$R$8:$R$12,1)))*($A24-INDEX($R$8:$R$12,MATCH($A24,$R$8:$R$12,1)))/(INDEX($R$8:$R$12,MATCH($A24,$R$8:$R$12,1)+1)-INDEX($R$8:$R$12,MATCH($A24,$R$8:$R$12,1))))</f>
        <v>40.96</v>
      </c>
      <c r="C24" s="17">
        <f>Inputs!$B$79</f>
        <v>0.5</v>
      </c>
      <c r="D24" s="17">
        <f>Inputs!$B$80</f>
        <v>0.6</v>
      </c>
      <c r="E24" s="17">
        <f>Inputs!$B$81</f>
        <v>0.7</v>
      </c>
      <c r="F24" s="18">
        <f>IF($B$3="Low",C24,IF($B$3="High",E24,D24))</f>
        <v>0.6</v>
      </c>
      <c r="G24" s="19">
        <f>P24*F24*L24</f>
        <v>33.73758148830688</v>
      </c>
      <c r="H24" s="13">
        <f>Inputs!B40*M24</f>
        <v>50</v>
      </c>
      <c r="I24" s="19">
        <f>J24*H24+(1-J24)*G24</f>
        <v>50</v>
      </c>
      <c r="J24" s="18">
        <f>IF(AND($B$4="Yes",K24=1),Inputs!$B$43,0)</f>
        <v>1</v>
      </c>
      <c r="K24" s="20">
        <f>IF(AND(A24&gt;=Inputs!$B$9,A24&lt;Inputs!$B$9+Inputs!$B$44),1,0)</f>
        <v>1</v>
      </c>
      <c r="L24" s="21">
        <f>(1+Inputs!$B$63)^(A24-$A$8)</f>
        <v>1.372785705090612</v>
      </c>
      <c r="M24" s="21">
        <f>IF(Inputs!$B$64="Yes",L24,1)</f>
        <v>1</v>
      </c>
      <c r="N24" s="16">
        <f>IF($A24&gt;=$R$12,T$12,INDEX(T$8:T$12,MATCH($A24,$R$8:$R$12,1))+(INDEX(T$8:T$12,MATCH($A24,$R$8:$R$12,1)+1)-INDEX(T$8:T$12,MATCH($A24,$R$8:$R$12,1)))*($A24-INDEX($R$8:$R$12,MATCH($A24,$R$8:$R$12,1)))/(INDEX($R$8:$R$12,MATCH($A24,$R$8:$R$12,1)+1)-INDEX($R$8:$R$12,MATCH($A24,$R$8:$R$12,1))))</f>
        <v>33.56</v>
      </c>
      <c r="O24" s="16">
        <f>IF($A24&gt;=$R$12,U$12,INDEX(U$8:U$12,MATCH($A24,$R$8:$R$12,1))+(INDEX(U$8:U$12,MATCH($A24,$R$8:$R$12,1)+1)-INDEX(U$8:U$12,MATCH($A24,$R$8:$R$12,1)))*($A24-INDEX($R$8:$R$12,MATCH($A24,$R$8:$R$12,1)))/(INDEX($R$8:$R$12,MATCH($A24,$R$8:$R$12,1)+1)-INDEX($R$8:$R$12,MATCH($A24,$R$8:$R$12,1))))</f>
        <v>56.6</v>
      </c>
      <c r="P24" s="22">
        <f>IF($B$5="Low",N24,IF($B$5="High",O24,B24))</f>
        <v>40.96</v>
      </c>
    </row>
    <row r="25" spans="1:16" ht="15" customHeight="1">
      <c r="A25" s="60">
        <v>2043</v>
      </c>
      <c r="B25" s="16">
        <f>IF($A25&gt;=$R$12,S$12,INDEX(S$8:S$12,MATCH($A25,$R$8:$R$12,1))+(INDEX(S$8:S$12,MATCH($A25,$R$8:$R$12,1)+1)-INDEX(S$8:S$12,MATCH($A25,$R$8:$R$12,1)))*($A25-INDEX($R$8:$R$12,MATCH($A25,$R$8:$R$12,1)))/(INDEX($R$8:$R$12,MATCH($A25,$R$8:$R$12,1)+1)-INDEX($R$8:$R$12,MATCH($A25,$R$8:$R$12,1))))</f>
        <v>41.54</v>
      </c>
      <c r="C25" s="17">
        <f>Inputs!$B$79</f>
        <v>0.5</v>
      </c>
      <c r="D25" s="17">
        <f>Inputs!$B$80</f>
        <v>0.6</v>
      </c>
      <c r="E25" s="17">
        <f>Inputs!$B$81</f>
        <v>0.7</v>
      </c>
      <c r="F25" s="18">
        <f>IF($B$3="Low",C25,IF($B$3="High",E25,D25))</f>
        <v>0.6</v>
      </c>
      <c r="G25" s="19">
        <f>P25*F25*L25</f>
        <v>34.899617131951985</v>
      </c>
      <c r="H25" s="13">
        <f>Inputs!B40*M25</f>
        <v>50</v>
      </c>
      <c r="I25" s="19">
        <f>J25*H25+(1-J25)*G25</f>
        <v>34.899617131951985</v>
      </c>
      <c r="J25" s="18">
        <f>IF(AND($B$4="Yes",K25=1),Inputs!$B$43,0)</f>
        <v>0</v>
      </c>
      <c r="K25" s="20">
        <f>IF(AND(A25&gt;=Inputs!$B$9,A25&lt;Inputs!$B$9+Inputs!$B$44),1,0)</f>
        <v>0</v>
      </c>
      <c r="L25" s="21">
        <f>(1+Inputs!$B$63)^(A25-$A$8)</f>
        <v>1.4002414191924244</v>
      </c>
      <c r="M25" s="21">
        <f>IF(Inputs!$B$64="Yes",L25,1)</f>
        <v>1</v>
      </c>
      <c r="N25" s="16">
        <f>IF($A25&gt;=$R$12,T$12,INDEX(T$8:T$12,MATCH($A25,$R$8:$R$12,1))+(INDEX(T$8:T$12,MATCH($A25,$R$8:$R$12,1)+1)-INDEX(T$8:T$12,MATCH($A25,$R$8:$R$12,1)))*($A25-INDEX($R$8:$R$12,MATCH($A25,$R$8:$R$12,1)))/(INDEX($R$8:$R$12,MATCH($A25,$R$8:$R$12,1)+1)-INDEX($R$8:$R$12,MATCH($A25,$R$8:$R$12,1))))</f>
        <v>34.04</v>
      </c>
      <c r="O25" s="16">
        <f>IF($A25&gt;=$R$12,U$12,INDEX(U$8:U$12,MATCH($A25,$R$8:$R$12,1))+(INDEX(U$8:U$12,MATCH($A25,$R$8:$R$12,1)+1)-INDEX(U$8:U$12,MATCH($A25,$R$8:$R$12,1)))*($A25-INDEX($R$8:$R$12,MATCH($A25,$R$8:$R$12,1)))/(INDEX($R$8:$R$12,MATCH($A25,$R$8:$R$12,1)+1)-INDEX($R$8:$R$12,MATCH($A25,$R$8:$R$12,1))))</f>
        <v>56.6</v>
      </c>
      <c r="P25" s="22">
        <f>IF($B$5="Low",N25,IF($B$5="High",O25,B25))</f>
        <v>41.54</v>
      </c>
    </row>
    <row r="26" spans="1:16" ht="15" customHeight="1">
      <c r="A26" s="60">
        <v>2044</v>
      </c>
      <c r="B26" s="16">
        <f>IF($A26&gt;=$R$12,S$12,INDEX(S$8:S$12,MATCH($A26,$R$8:$R$12,1))+(INDEX(S$8:S$12,MATCH($A26,$R$8:$R$12,1)+1)-INDEX(S$8:S$12,MATCH($A26,$R$8:$R$12,1)))*($A26-INDEX($R$8:$R$12,MATCH($A26,$R$8:$R$12,1)))/(INDEX($R$8:$R$12,MATCH($A26,$R$8:$R$12,1)+1)-INDEX($R$8:$R$12,MATCH($A26,$R$8:$R$12,1))))</f>
        <v>42.12</v>
      </c>
      <c r="C26" s="17">
        <f>Inputs!$B$79</f>
        <v>0.5</v>
      </c>
      <c r="D26" s="17">
        <f>Inputs!$B$80</f>
        <v>0.6</v>
      </c>
      <c r="E26" s="17">
        <f>Inputs!$B$81</f>
        <v>0.7</v>
      </c>
      <c r="F26" s="18">
        <f>IF($B$3="Low",C26,IF($B$3="High",E26,D26))</f>
        <v>0.6</v>
      </c>
      <c r="G26" s="19">
        <f>P26*F26*L26</f>
        <v>36.094639168747563</v>
      </c>
      <c r="H26" s="13">
        <f>Inputs!B40*M26</f>
        <v>50</v>
      </c>
      <c r="I26" s="19">
        <f>J26*H26+(1-J26)*G26</f>
        <v>36.094639168747563</v>
      </c>
      <c r="J26" s="18">
        <f>IF(AND($B$4="Yes",K26=1),Inputs!$B$43,0)</f>
        <v>0</v>
      </c>
      <c r="K26" s="20">
        <f>IF(AND(A26&gt;=Inputs!$B$9,A26&lt;Inputs!$B$9+Inputs!$B$44),1,0)</f>
        <v>0</v>
      </c>
      <c r="L26" s="21">
        <f>(1+Inputs!$B$63)^(A26-$A$8)</f>
        <v>1.4282462475762727</v>
      </c>
      <c r="M26" s="21">
        <f>IF(Inputs!$B$64="Yes",L26,1)</f>
        <v>1</v>
      </c>
      <c r="N26" s="16">
        <f>IF($A26&gt;=$R$12,T$12,INDEX(T$8:T$12,MATCH($A26,$R$8:$R$12,1))+(INDEX(T$8:T$12,MATCH($A26,$R$8:$R$12,1)+1)-INDEX(T$8:T$12,MATCH($A26,$R$8:$R$12,1)))*($A26-INDEX($R$8:$R$12,MATCH($A26,$R$8:$R$12,1)))/(INDEX($R$8:$R$12,MATCH($A26,$R$8:$R$12,1)+1)-INDEX($R$8:$R$12,MATCH($A26,$R$8:$R$12,1))))</f>
        <v>34.520000000000003</v>
      </c>
      <c r="O26" s="16">
        <f>IF($A26&gt;=$R$12,U$12,INDEX(U$8:U$12,MATCH($A26,$R$8:$R$12,1))+(INDEX(U$8:U$12,MATCH($A26,$R$8:$R$12,1)+1)-INDEX(U$8:U$12,MATCH($A26,$R$8:$R$12,1)))*($A26-INDEX($R$8:$R$12,MATCH($A26,$R$8:$R$12,1)))/(INDEX($R$8:$R$12,MATCH($A26,$R$8:$R$12,1)+1)-INDEX($R$8:$R$12,MATCH($A26,$R$8:$R$12,1))))</f>
        <v>56.6</v>
      </c>
      <c r="P26" s="22">
        <f>IF($B$5="Low",N26,IF($B$5="High",O26,B26))</f>
        <v>42.12</v>
      </c>
    </row>
    <row r="27" spans="1:16" ht="15" customHeight="1">
      <c r="A27" s="60">
        <v>2045</v>
      </c>
      <c r="B27" s="16">
        <f>IF($A27&gt;=$R$12,S$12,INDEX(S$8:S$12,MATCH($A27,$R$8:$R$12,1))+(INDEX(S$8:S$12,MATCH($A27,$R$8:$R$12,1)+1)-INDEX(S$8:S$12,MATCH($A27,$R$8:$R$12,1)))*($A27-INDEX($R$8:$R$12,MATCH($A27,$R$8:$R$12,1)))/(INDEX($R$8:$R$12,MATCH($A27,$R$8:$R$12,1)+1)-INDEX($R$8:$R$12,MATCH($A27,$R$8:$R$12,1))))</f>
        <v>42.7</v>
      </c>
      <c r="C27" s="17">
        <f>Inputs!$B$79</f>
        <v>0.5</v>
      </c>
      <c r="D27" s="17">
        <f>Inputs!$B$80</f>
        <v>0.6</v>
      </c>
      <c r="E27" s="17">
        <f>Inputs!$B$81</f>
        <v>0.7</v>
      </c>
      <c r="F27" s="18">
        <f>IF($B$3="Low",C27,IF($B$3="High",E27,D27))</f>
        <v>0.6</v>
      </c>
      <c r="G27" s="19">
        <f>P27*F27*L27</f>
        <v>37.323502240162192</v>
      </c>
      <c r="H27" s="13">
        <f>Inputs!B40*M27</f>
        <v>50</v>
      </c>
      <c r="I27" s="19">
        <f>J27*H27+(1-J27)*G27</f>
        <v>37.323502240162192</v>
      </c>
      <c r="J27" s="18">
        <f>IF(AND($B$4="Yes",K27=1),Inputs!$B$43,0)</f>
        <v>0</v>
      </c>
      <c r="K27" s="20">
        <f>IF(AND(A27&gt;=Inputs!$B$9,A27&lt;Inputs!$B$9+Inputs!$B$44),1,0)</f>
        <v>0</v>
      </c>
      <c r="L27" s="21">
        <f>(1+Inputs!$B$63)^(A27-$A$8)</f>
        <v>1.4568111725277981</v>
      </c>
      <c r="M27" s="21">
        <f>IF(Inputs!$B$64="Yes",L27,1)</f>
        <v>1</v>
      </c>
      <c r="N27" s="16">
        <f>IF($A27&gt;=$R$12,T$12,INDEX(T$8:T$12,MATCH($A27,$R$8:$R$12,1))+(INDEX(T$8:T$12,MATCH($A27,$R$8:$R$12,1)+1)-INDEX(T$8:T$12,MATCH($A27,$R$8:$R$12,1)))*($A27-INDEX($R$8:$R$12,MATCH($A27,$R$8:$R$12,1)))/(INDEX($R$8:$R$12,MATCH($A27,$R$8:$R$12,1)+1)-INDEX($R$8:$R$12,MATCH($A27,$R$8:$R$12,1))))</f>
        <v>35</v>
      </c>
      <c r="O27" s="16">
        <f>IF($A27&gt;=$R$12,U$12,INDEX(U$8:U$12,MATCH($A27,$R$8:$R$12,1))+(INDEX(U$8:U$12,MATCH($A27,$R$8:$R$12,1)+1)-INDEX(U$8:U$12,MATCH($A27,$R$8:$R$12,1)))*($A27-INDEX($R$8:$R$12,MATCH($A27,$R$8:$R$12,1)))/(INDEX($R$8:$R$12,MATCH($A27,$R$8:$R$12,1)+1)-INDEX($R$8:$R$12,MATCH($A27,$R$8:$R$12,1))))</f>
        <v>56.6</v>
      </c>
      <c r="P27" s="22">
        <f>IF($B$5="Low",N27,IF($B$5="High",O27,B27))</f>
        <v>42.7</v>
      </c>
    </row>
    <row r="28" spans="1:16" ht="15" customHeight="1">
      <c r="A28" s="60">
        <v>2046</v>
      </c>
      <c r="B28" s="16">
        <f>IF($A28&gt;=$R$12,S$12,INDEX(S$8:S$12,MATCH($A28,$R$8:$R$12,1))+(INDEX(S$8:S$12,MATCH($A28,$R$8:$R$12,1)+1)-INDEX(S$8:S$12,MATCH($A28,$R$8:$R$12,1)))*($A28-INDEX($R$8:$R$12,MATCH($A28,$R$8:$R$12,1)))/(INDEX($R$8:$R$12,MATCH($A28,$R$8:$R$12,1)+1)-INDEX($R$8:$R$12,MATCH($A28,$R$8:$R$12,1))))</f>
        <v>43.28</v>
      </c>
      <c r="C28" s="17">
        <f>Inputs!$B$79</f>
        <v>0.5</v>
      </c>
      <c r="D28" s="17">
        <f>Inputs!$B$80</f>
        <v>0.6</v>
      </c>
      <c r="E28" s="17">
        <f>Inputs!$B$81</f>
        <v>0.7</v>
      </c>
      <c r="F28" s="18">
        <f>IF($B$3="Low",C28,IF($B$3="High",E28,D28))</f>
        <v>0.6</v>
      </c>
      <c r="G28" s="19">
        <f>P28*F28*L28</f>
        <v>38.587081978765902</v>
      </c>
      <c r="H28" s="13">
        <f>Inputs!B40*M28</f>
        <v>50</v>
      </c>
      <c r="I28" s="19">
        <f>J28*H28+(1-J28)*G28</f>
        <v>38.587081978765902</v>
      </c>
      <c r="J28" s="18">
        <f>IF(AND($B$4="Yes",K28=1),Inputs!$B$43,0)</f>
        <v>0</v>
      </c>
      <c r="K28" s="20">
        <f>IF(AND(A28&gt;=Inputs!$B$9,A28&lt;Inputs!$B$9+Inputs!$B$44),1,0)</f>
        <v>0</v>
      </c>
      <c r="L28" s="21">
        <f>(1+Inputs!$B$63)^(A28-$A$8)</f>
        <v>1.4859473959783542</v>
      </c>
      <c r="M28" s="21">
        <f>IF(Inputs!$B$64="Yes",L28,1)</f>
        <v>1</v>
      </c>
      <c r="N28" s="16">
        <f>IF($A28&gt;=$R$12,T$12,INDEX(T$8:T$12,MATCH($A28,$R$8:$R$12,1))+(INDEX(T$8:T$12,MATCH($A28,$R$8:$R$12,1)+1)-INDEX(T$8:T$12,MATCH($A28,$R$8:$R$12,1)))*($A28-INDEX($R$8:$R$12,MATCH($A28,$R$8:$R$12,1)))/(INDEX($R$8:$R$12,MATCH($A28,$R$8:$R$12,1)+1)-INDEX($R$8:$R$12,MATCH($A28,$R$8:$R$12,1))))</f>
        <v>35.479999999999997</v>
      </c>
      <c r="O28" s="16">
        <f>IF($A28&gt;=$R$12,U$12,INDEX(U$8:U$12,MATCH($A28,$R$8:$R$12,1))+(INDEX(U$8:U$12,MATCH($A28,$R$8:$R$12,1)+1)-INDEX(U$8:U$12,MATCH($A28,$R$8:$R$12,1)))*($A28-INDEX($R$8:$R$12,MATCH($A28,$R$8:$R$12,1)))/(INDEX($R$8:$R$12,MATCH($A28,$R$8:$R$12,1)+1)-INDEX($R$8:$R$12,MATCH($A28,$R$8:$R$12,1))))</f>
        <v>56.6</v>
      </c>
      <c r="P28" s="22">
        <f>IF($B$5="Low",N28,IF($B$5="High",O28,B28))</f>
        <v>43.28</v>
      </c>
    </row>
    <row r="29" spans="1:16" ht="15" customHeight="1">
      <c r="A29" s="60">
        <v>2047</v>
      </c>
      <c r="B29" s="16">
        <f>IF($A29&gt;=$R$12,S$12,INDEX(S$8:S$12,MATCH($A29,$R$8:$R$12,1))+(INDEX(S$8:S$12,MATCH($A29,$R$8:$R$12,1)+1)-INDEX(S$8:S$12,MATCH($A29,$R$8:$R$12,1)))*($A29-INDEX($R$8:$R$12,MATCH($A29,$R$8:$R$12,1)))/(INDEX($R$8:$R$12,MATCH($A29,$R$8:$R$12,1)+1)-INDEX($R$8:$R$12,MATCH($A29,$R$8:$R$12,1))))</f>
        <v>43.86</v>
      </c>
      <c r="C29" s="17">
        <f>Inputs!$B$79</f>
        <v>0.5</v>
      </c>
      <c r="D29" s="17">
        <f>Inputs!$B$80</f>
        <v>0.6</v>
      </c>
      <c r="E29" s="17">
        <f>Inputs!$B$81</f>
        <v>0.7</v>
      </c>
      <c r="F29" s="18">
        <f>IF($B$3="Low",C29,IF($B$3="High",E29,D29))</f>
        <v>0.6</v>
      </c>
      <c r="G29" s="19">
        <f>P29*F29*L29</f>
        <v>39.886275506017689</v>
      </c>
      <c r="H29" s="13">
        <f>Inputs!B40*M29</f>
        <v>50</v>
      </c>
      <c r="I29" s="19">
        <f>J29*H29+(1-J29)*G29</f>
        <v>39.886275506017689</v>
      </c>
      <c r="J29" s="18">
        <f>IF(AND($B$4="Yes",K29=1),Inputs!$B$43,0)</f>
        <v>0</v>
      </c>
      <c r="K29" s="20">
        <f>IF(AND(A29&gt;=Inputs!$B$9,A29&lt;Inputs!$B$9+Inputs!$B$44),1,0)</f>
        <v>0</v>
      </c>
      <c r="L29" s="21">
        <f>(1+Inputs!$B$63)^(A29-$A$8)</f>
        <v>1.5156663438979212</v>
      </c>
      <c r="M29" s="21">
        <f>IF(Inputs!$B$64="Yes",L29,1)</f>
        <v>1</v>
      </c>
      <c r="N29" s="16">
        <f>IF($A29&gt;=$R$12,T$12,INDEX(T$8:T$12,MATCH($A29,$R$8:$R$12,1))+(INDEX(T$8:T$12,MATCH($A29,$R$8:$R$12,1)+1)-INDEX(T$8:T$12,MATCH($A29,$R$8:$R$12,1)))*($A29-INDEX($R$8:$R$12,MATCH($A29,$R$8:$R$12,1)))/(INDEX($R$8:$R$12,MATCH($A29,$R$8:$R$12,1)+1)-INDEX($R$8:$R$12,MATCH($A29,$R$8:$R$12,1))))</f>
        <v>35.96</v>
      </c>
      <c r="O29" s="16">
        <f>IF($A29&gt;=$R$12,U$12,INDEX(U$8:U$12,MATCH($A29,$R$8:$R$12,1))+(INDEX(U$8:U$12,MATCH($A29,$R$8:$R$12,1)+1)-INDEX(U$8:U$12,MATCH($A29,$R$8:$R$12,1)))*($A29-INDEX($R$8:$R$12,MATCH($A29,$R$8:$R$12,1)))/(INDEX($R$8:$R$12,MATCH($A29,$R$8:$R$12,1)+1)-INDEX($R$8:$R$12,MATCH($A29,$R$8:$R$12,1))))</f>
        <v>56.6</v>
      </c>
      <c r="P29" s="22">
        <f>IF($B$5="Low",N29,IF($B$5="High",O29,B29))</f>
        <v>43.86</v>
      </c>
    </row>
    <row r="30" spans="1:16" ht="15" customHeight="1">
      <c r="A30" s="60">
        <v>2048</v>
      </c>
      <c r="B30" s="16">
        <f>IF($A30&gt;=$R$12,S$12,INDEX(S$8:S$12,MATCH($A30,$R$8:$R$12,1))+(INDEX(S$8:S$12,MATCH($A30,$R$8:$R$12,1)+1)-INDEX(S$8:S$12,MATCH($A30,$R$8:$R$12,1)))*($A30-INDEX($R$8:$R$12,MATCH($A30,$R$8:$R$12,1)))/(INDEX($R$8:$R$12,MATCH($A30,$R$8:$R$12,1)+1)-INDEX($R$8:$R$12,MATCH($A30,$R$8:$R$12,1))))</f>
        <v>44.44</v>
      </c>
      <c r="C30" s="17">
        <f>Inputs!$B$79</f>
        <v>0.5</v>
      </c>
      <c r="D30" s="17">
        <f>Inputs!$B$80</f>
        <v>0.6</v>
      </c>
      <c r="E30" s="17">
        <f>Inputs!$B$81</f>
        <v>0.7</v>
      </c>
      <c r="F30" s="18">
        <f>IF($B$3="Low",C30,IF($B$3="High",E30,D30))</f>
        <v>0.6</v>
      </c>
      <c r="G30" s="19">
        <f>P30*F30*L30</f>
        <v>41.222001941568053</v>
      </c>
      <c r="H30" s="13">
        <f>Inputs!B40*M30</f>
        <v>50</v>
      </c>
      <c r="I30" s="19">
        <f>J30*H30+(1-J30)*G30</f>
        <v>41.222001941568053</v>
      </c>
      <c r="J30" s="18">
        <f>IF(AND($B$4="Yes",K30=1),Inputs!$B$43,0)</f>
        <v>0</v>
      </c>
      <c r="K30" s="20">
        <f>IF(AND(A30&gt;=Inputs!$B$9,A30&lt;Inputs!$B$9+Inputs!$B$44),1,0)</f>
        <v>0</v>
      </c>
      <c r="L30" s="21">
        <f>(1+Inputs!$B$63)^(A30-$A$8)</f>
        <v>1.5459796707758797</v>
      </c>
      <c r="M30" s="21">
        <f>IF(Inputs!$B$64="Yes",L30,1)</f>
        <v>1</v>
      </c>
      <c r="N30" s="16">
        <f>IF($A30&gt;=$R$12,T$12,INDEX(T$8:T$12,MATCH($A30,$R$8:$R$12,1))+(INDEX(T$8:T$12,MATCH($A30,$R$8:$R$12,1)+1)-INDEX(T$8:T$12,MATCH($A30,$R$8:$R$12,1)))*($A30-INDEX($R$8:$R$12,MATCH($A30,$R$8:$R$12,1)))/(INDEX($R$8:$R$12,MATCH($A30,$R$8:$R$12,1)+1)-INDEX($R$8:$R$12,MATCH($A30,$R$8:$R$12,1))))</f>
        <v>36.44</v>
      </c>
      <c r="O30" s="16">
        <f>IF($A30&gt;=$R$12,U$12,INDEX(U$8:U$12,MATCH($A30,$R$8:$R$12,1))+(INDEX(U$8:U$12,MATCH($A30,$R$8:$R$12,1)+1)-INDEX(U$8:U$12,MATCH($A30,$R$8:$R$12,1)))*($A30-INDEX($R$8:$R$12,MATCH($A30,$R$8:$R$12,1)))/(INDEX($R$8:$R$12,MATCH($A30,$R$8:$R$12,1)+1)-INDEX($R$8:$R$12,MATCH($A30,$R$8:$R$12,1))))</f>
        <v>56.6</v>
      </c>
      <c r="P30" s="22">
        <f>IF($B$5="Low",N30,IF($B$5="High",O30,B30))</f>
        <v>44.44</v>
      </c>
    </row>
    <row r="31" spans="1:16" ht="15" customHeight="1">
      <c r="A31" s="60">
        <v>2049</v>
      </c>
      <c r="B31" s="16">
        <f>IF($A31&gt;=$R$12,S$12,INDEX(S$8:S$12,MATCH($A31,$R$8:$R$12,1))+(INDEX(S$8:S$12,MATCH($A31,$R$8:$R$12,1)+1)-INDEX(S$8:S$12,MATCH($A31,$R$8:$R$12,1)))*($A31-INDEX($R$8:$R$12,MATCH($A31,$R$8:$R$12,1)))/(INDEX($R$8:$R$12,MATCH($A31,$R$8:$R$12,1)+1)-INDEX($R$8:$R$12,MATCH($A31,$R$8:$R$12,1))))</f>
        <v>45.02</v>
      </c>
      <c r="C31" s="17">
        <f>Inputs!$B$79</f>
        <v>0.5</v>
      </c>
      <c r="D31" s="17">
        <f>Inputs!$B$80</f>
        <v>0.6</v>
      </c>
      <c r="E31" s="17">
        <f>Inputs!$B$81</f>
        <v>0.7</v>
      </c>
      <c r="F31" s="18">
        <f>IF($B$3="Low",C31,IF($B$3="High",E31,D31))</f>
        <v>0.6</v>
      </c>
      <c r="G31" s="19">
        <f>P31*F31*L31</f>
        <v>42.595202924338018</v>
      </c>
      <c r="H31" s="13">
        <f>Inputs!B40*M31</f>
        <v>50</v>
      </c>
      <c r="I31" s="19">
        <f>J31*H31+(1-J31)*G31</f>
        <v>42.595202924338018</v>
      </c>
      <c r="J31" s="18">
        <f>IF(AND($B$4="Yes",K31=1),Inputs!$B$43,0)</f>
        <v>0</v>
      </c>
      <c r="K31" s="20">
        <f>IF(AND(A31&gt;=Inputs!$B$9,A31&lt;Inputs!$B$9+Inputs!$B$44),1,0)</f>
        <v>0</v>
      </c>
      <c r="L31" s="21">
        <f>(1+Inputs!$B$63)^(A31-$A$8)</f>
        <v>1.576899264191397</v>
      </c>
      <c r="M31" s="21">
        <f>IF(Inputs!$B$64="Yes",L31,1)</f>
        <v>1</v>
      </c>
      <c r="N31" s="16">
        <f>IF($A31&gt;=$R$12,T$12,INDEX(T$8:T$12,MATCH($A31,$R$8:$R$12,1))+(INDEX(T$8:T$12,MATCH($A31,$R$8:$R$12,1)+1)-INDEX(T$8:T$12,MATCH($A31,$R$8:$R$12,1)))*($A31-INDEX($R$8:$R$12,MATCH($A31,$R$8:$R$12,1)))/(INDEX($R$8:$R$12,MATCH($A31,$R$8:$R$12,1)+1)-INDEX($R$8:$R$12,MATCH($A31,$R$8:$R$12,1))))</f>
        <v>36.92</v>
      </c>
      <c r="O31" s="16">
        <f>IF($A31&gt;=$R$12,U$12,INDEX(U$8:U$12,MATCH($A31,$R$8:$R$12,1))+(INDEX(U$8:U$12,MATCH($A31,$R$8:$R$12,1)+1)-INDEX(U$8:U$12,MATCH($A31,$R$8:$R$12,1)))*($A31-INDEX($R$8:$R$12,MATCH($A31,$R$8:$R$12,1)))/(INDEX($R$8:$R$12,MATCH($A31,$R$8:$R$12,1)+1)-INDEX($R$8:$R$12,MATCH($A31,$R$8:$R$12,1))))</f>
        <v>56.6</v>
      </c>
      <c r="P31" s="22">
        <f>IF($B$5="Low",N31,IF($B$5="High",O31,B31))</f>
        <v>45.02</v>
      </c>
    </row>
    <row r="32" spans="1:16" ht="15" customHeight="1">
      <c r="A32" s="60">
        <v>2050</v>
      </c>
      <c r="B32" s="16">
        <f>IF($A32&gt;=$R$12,S$12,INDEX(S$8:S$12,MATCH($A32,$R$8:$R$12,1))+(INDEX(S$8:S$12,MATCH($A32,$R$8:$R$12,1)+1)-INDEX(S$8:S$12,MATCH($A32,$R$8:$R$12,1)))*($A32-INDEX($R$8:$R$12,MATCH($A32,$R$8:$R$12,1)))/(INDEX($R$8:$R$12,MATCH($A32,$R$8:$R$12,1)+1)-INDEX($R$8:$R$12,MATCH($A32,$R$8:$R$12,1))))</f>
        <v>45.6</v>
      </c>
      <c r="C32" s="17">
        <f>Inputs!$B$79</f>
        <v>0.5</v>
      </c>
      <c r="D32" s="17">
        <f>Inputs!$B$80</f>
        <v>0.6</v>
      </c>
      <c r="E32" s="17">
        <f>Inputs!$B$81</f>
        <v>0.7</v>
      </c>
      <c r="F32" s="18">
        <f>IF($B$3="Low",C32,IF($B$3="High",E32,D32))</f>
        <v>0.6</v>
      </c>
      <c r="G32" s="19">
        <f>P32*F32*L32</f>
        <v>44.006843145642158</v>
      </c>
      <c r="H32" s="13">
        <f>Inputs!B40*M32</f>
        <v>50</v>
      </c>
      <c r="I32" s="19">
        <f>J32*H32+(1-J32)*G32</f>
        <v>44.006843145642158</v>
      </c>
      <c r="J32" s="18">
        <f>IF(AND($B$4="Yes",K32=1),Inputs!$B$43,0)</f>
        <v>0</v>
      </c>
      <c r="K32" s="20">
        <f>IF(AND(A32&gt;=Inputs!$B$9,A32&lt;Inputs!$B$9+Inputs!$B$44),1,0)</f>
        <v>0</v>
      </c>
      <c r="L32" s="21">
        <f>(1+Inputs!$B$63)^(A32-$A$8)</f>
        <v>1.608437249475225</v>
      </c>
      <c r="M32" s="21">
        <f>IF(Inputs!$B$64="Yes",L32,1)</f>
        <v>1</v>
      </c>
      <c r="N32" s="16">
        <f>IF($A32&gt;=$R$12,T$12,INDEX(T$8:T$12,MATCH($A32,$R$8:$R$12,1))+(INDEX(T$8:T$12,MATCH($A32,$R$8:$R$12,1)+1)-INDEX(T$8:T$12,MATCH($A32,$R$8:$R$12,1)))*($A32-INDEX($R$8:$R$12,MATCH($A32,$R$8:$R$12,1)))/(INDEX($R$8:$R$12,MATCH($A32,$R$8:$R$12,1)+1)-INDEX($R$8:$R$12,MATCH($A32,$R$8:$R$12,1))))</f>
        <v>37.4</v>
      </c>
      <c r="O32" s="16">
        <f>IF($A32&gt;=$R$12,U$12,INDEX(U$8:U$12,MATCH($A32,$R$8:$R$12,1))+(INDEX(U$8:U$12,MATCH($A32,$R$8:$R$12,1)+1)-INDEX(U$8:U$12,MATCH($A32,$R$8:$R$12,1)))*($A32-INDEX($R$8:$R$12,MATCH($A32,$R$8:$R$12,1)))/(INDEX($R$8:$R$12,MATCH($A32,$R$8:$R$12,1)+1)-INDEX($R$8:$R$12,MATCH($A32,$R$8:$R$12,1))))</f>
        <v>56.6</v>
      </c>
      <c r="P32" s="22">
        <f>IF($B$5="Low",N32,IF($B$5="High",O32,B32))</f>
        <v>45.6</v>
      </c>
    </row>
    <row r="33" spans="1:16" ht="15" customHeight="1">
      <c r="A33" s="60">
        <v>2051</v>
      </c>
      <c r="B33" s="16">
        <f>IF($A33&gt;=$R$12,S$12,INDEX(S$8:S$12,MATCH($A33,$R$8:$R$12,1))+(INDEX(S$8:S$12,MATCH($A33,$R$8:$R$12,1)+1)-INDEX(S$8:S$12,MATCH($A33,$R$8:$R$12,1)))*($A33-INDEX($R$8:$R$12,MATCH($A33,$R$8:$R$12,1)))/(INDEX($R$8:$R$12,MATCH($A33,$R$8:$R$12,1)+1)-INDEX($R$8:$R$12,MATCH($A33,$R$8:$R$12,1))))</f>
        <v>45.6</v>
      </c>
      <c r="C33" s="17">
        <f>Inputs!$B$79</f>
        <v>0.5</v>
      </c>
      <c r="D33" s="17">
        <f>Inputs!$B$80</f>
        <v>0.6</v>
      </c>
      <c r="E33" s="17">
        <f>Inputs!$B$81</f>
        <v>0.7</v>
      </c>
      <c r="F33" s="18">
        <f>IF($B$3="Low",C33,IF($B$3="High",E33,D33))</f>
        <v>0.6</v>
      </c>
      <c r="G33" s="19">
        <f>P33*F33*L33</f>
        <v>44.886980008555</v>
      </c>
      <c r="H33" s="13">
        <f>Inputs!B40*M33</f>
        <v>50</v>
      </c>
      <c r="I33" s="19">
        <f>J33*H33+(1-J33)*G33</f>
        <v>44.886980008555</v>
      </c>
      <c r="J33" s="18">
        <f>IF(AND($B$4="Yes",K33=1),Inputs!$B$43,0)</f>
        <v>0</v>
      </c>
      <c r="K33" s="20">
        <f>IF(AND(A33&gt;=Inputs!$B$9,A33&lt;Inputs!$B$9+Inputs!$B$44),1,0)</f>
        <v>0</v>
      </c>
      <c r="L33" s="21">
        <f>(1+Inputs!$B$63)^(A33-$A$8)</f>
        <v>1.6406059944647295</v>
      </c>
      <c r="M33" s="21">
        <f>IF(Inputs!$B$64="Yes",L33,1)</f>
        <v>1</v>
      </c>
      <c r="N33" s="16">
        <f>IF($A33&gt;=$R$12,T$12,INDEX(T$8:T$12,MATCH($A33,$R$8:$R$12,1))+(INDEX(T$8:T$12,MATCH($A33,$R$8:$R$12,1)+1)-INDEX(T$8:T$12,MATCH($A33,$R$8:$R$12,1)))*($A33-INDEX($R$8:$R$12,MATCH($A33,$R$8:$R$12,1)))/(INDEX($R$8:$R$12,MATCH($A33,$R$8:$R$12,1)+1)-INDEX($R$8:$R$12,MATCH($A33,$R$8:$R$12,1))))</f>
        <v>37.4</v>
      </c>
      <c r="O33" s="16">
        <f>IF($A33&gt;=$R$12,U$12,INDEX(U$8:U$12,MATCH($A33,$R$8:$R$12,1))+(INDEX(U$8:U$12,MATCH($A33,$R$8:$R$12,1)+1)-INDEX(U$8:U$12,MATCH($A33,$R$8:$R$12,1)))*($A33-INDEX($R$8:$R$12,MATCH($A33,$R$8:$R$12,1)))/(INDEX($R$8:$R$12,MATCH($A33,$R$8:$R$12,1)+1)-INDEX($R$8:$R$12,MATCH($A33,$R$8:$R$12,1))))</f>
        <v>56.6</v>
      </c>
      <c r="P33" s="22">
        <f>IF($B$5="Low",N33,IF($B$5="High",O33,B33))</f>
        <v>45.6</v>
      </c>
    </row>
    <row r="34" spans="1:16" ht="15" customHeight="1">
      <c r="A34" s="60">
        <v>2052</v>
      </c>
      <c r="B34" s="16">
        <f>IF($A34&gt;=$R$12,S$12,INDEX(S$8:S$12,MATCH($A34,$R$8:$R$12,1))+(INDEX(S$8:S$12,MATCH($A34,$R$8:$R$12,1)+1)-INDEX(S$8:S$12,MATCH($A34,$R$8:$R$12,1)))*($A34-INDEX($R$8:$R$12,MATCH($A34,$R$8:$R$12,1)))/(INDEX($R$8:$R$12,MATCH($A34,$R$8:$R$12,1)+1)-INDEX($R$8:$R$12,MATCH($A34,$R$8:$R$12,1))))</f>
        <v>45.6</v>
      </c>
      <c r="C34" s="17">
        <f>Inputs!$B$79</f>
        <v>0.5</v>
      </c>
      <c r="D34" s="17">
        <f>Inputs!$B$80</f>
        <v>0.6</v>
      </c>
      <c r="E34" s="17">
        <f>Inputs!$B$81</f>
        <v>0.7</v>
      </c>
      <c r="F34" s="18">
        <f>IF($B$3="Low",C34,IF($B$3="High",E34,D34))</f>
        <v>0.6</v>
      </c>
      <c r="G34" s="19">
        <f>P34*F34*L34</f>
        <v>45.784719608726107</v>
      </c>
      <c r="H34" s="13">
        <f>Inputs!B40*M34</f>
        <v>50</v>
      </c>
      <c r="I34" s="19">
        <f>J34*H34+(1-J34)*G34</f>
        <v>45.784719608726107</v>
      </c>
      <c r="J34" s="18">
        <f>IF(AND($B$4="Yes",K34=1),Inputs!$B$43,0)</f>
        <v>0</v>
      </c>
      <c r="K34" s="20">
        <f>IF(AND(A34&gt;=Inputs!$B$9,A34&lt;Inputs!$B$9+Inputs!$B$44),1,0)</f>
        <v>0</v>
      </c>
      <c r="L34" s="21">
        <f>(1+Inputs!$B$63)^(A34-$A$8)</f>
        <v>1.6734181143540243</v>
      </c>
      <c r="M34" s="21">
        <f>IF(Inputs!$B$64="Yes",L34,1)</f>
        <v>1</v>
      </c>
      <c r="N34" s="16">
        <f>IF($A34&gt;=$R$12,T$12,INDEX(T$8:T$12,MATCH($A34,$R$8:$R$12,1))+(INDEX(T$8:T$12,MATCH($A34,$R$8:$R$12,1)+1)-INDEX(T$8:T$12,MATCH($A34,$R$8:$R$12,1)))*($A34-INDEX($R$8:$R$12,MATCH($A34,$R$8:$R$12,1)))/(INDEX($R$8:$R$12,MATCH($A34,$R$8:$R$12,1)+1)-INDEX($R$8:$R$12,MATCH($A34,$R$8:$R$12,1))))</f>
        <v>37.4</v>
      </c>
      <c r="O34" s="16">
        <f>IF($A34&gt;=$R$12,U$12,INDEX(U$8:U$12,MATCH($A34,$R$8:$R$12,1))+(INDEX(U$8:U$12,MATCH($A34,$R$8:$R$12,1)+1)-INDEX(U$8:U$12,MATCH($A34,$R$8:$R$12,1)))*($A34-INDEX($R$8:$R$12,MATCH($A34,$R$8:$R$12,1)))/(INDEX($R$8:$R$12,MATCH($A34,$R$8:$R$12,1)+1)-INDEX($R$8:$R$12,MATCH($A34,$R$8:$R$12,1))))</f>
        <v>56.6</v>
      </c>
      <c r="P34" s="22">
        <f>IF($B$5="Low",N34,IF($B$5="High",O34,B34))</f>
        <v>45.6</v>
      </c>
    </row>
    <row r="35" spans="1:16" ht="15" customHeight="1">
      <c r="A35" s="60">
        <v>2053</v>
      </c>
      <c r="B35" s="16">
        <f>IF($A35&gt;=$R$12,S$12,INDEX(S$8:S$12,MATCH($A35,$R$8:$R$12,1))+(INDEX(S$8:S$12,MATCH($A35,$R$8:$R$12,1)+1)-INDEX(S$8:S$12,MATCH($A35,$R$8:$R$12,1)))*($A35-INDEX($R$8:$R$12,MATCH($A35,$R$8:$R$12,1)))/(INDEX($R$8:$R$12,MATCH($A35,$R$8:$R$12,1)+1)-INDEX($R$8:$R$12,MATCH($A35,$R$8:$R$12,1))))</f>
        <v>45.6</v>
      </c>
      <c r="C35" s="17">
        <f>Inputs!$B$79</f>
        <v>0.5</v>
      </c>
      <c r="D35" s="17">
        <f>Inputs!$B$80</f>
        <v>0.6</v>
      </c>
      <c r="E35" s="17">
        <f>Inputs!$B$81</f>
        <v>0.7</v>
      </c>
      <c r="F35" s="18">
        <f>IF($B$3="Low",C35,IF($B$3="High",E35,D35))</f>
        <v>0.6</v>
      </c>
      <c r="G35" s="19">
        <f>P35*F35*L35</f>
        <v>46.700414000900615</v>
      </c>
      <c r="H35" s="13">
        <f>Inputs!B40*M35</f>
        <v>50</v>
      </c>
      <c r="I35" s="19">
        <f>J35*H35+(1-J35)*G35</f>
        <v>46.700414000900615</v>
      </c>
      <c r="J35" s="18">
        <f>IF(AND($B$4="Yes",K35=1),Inputs!$B$43,0)</f>
        <v>0</v>
      </c>
      <c r="K35" s="20">
        <f>IF(AND(A35&gt;=Inputs!$B$9,A35&lt;Inputs!$B$9+Inputs!$B$44),1,0)</f>
        <v>0</v>
      </c>
      <c r="L35" s="21">
        <f>(1+Inputs!$B$63)^(A35-$A$8)</f>
        <v>1.7068864766411045</v>
      </c>
      <c r="M35" s="21">
        <f>IF(Inputs!$B$64="Yes",L35,1)</f>
        <v>1</v>
      </c>
      <c r="N35" s="16">
        <f>IF($A35&gt;=$R$12,T$12,INDEX(T$8:T$12,MATCH($A35,$R$8:$R$12,1))+(INDEX(T$8:T$12,MATCH($A35,$R$8:$R$12,1)+1)-INDEX(T$8:T$12,MATCH($A35,$R$8:$R$12,1)))*($A35-INDEX($R$8:$R$12,MATCH($A35,$R$8:$R$12,1)))/(INDEX($R$8:$R$12,MATCH($A35,$R$8:$R$12,1)+1)-INDEX($R$8:$R$12,MATCH($A35,$R$8:$R$12,1))))</f>
        <v>37.4</v>
      </c>
      <c r="O35" s="16">
        <f>IF($A35&gt;=$R$12,U$12,INDEX(U$8:U$12,MATCH($A35,$R$8:$R$12,1))+(INDEX(U$8:U$12,MATCH($A35,$R$8:$R$12,1)+1)-INDEX(U$8:U$12,MATCH($A35,$R$8:$R$12,1)))*($A35-INDEX($R$8:$R$12,MATCH($A35,$R$8:$R$12,1)))/(INDEX($R$8:$R$12,MATCH($A35,$R$8:$R$12,1)+1)-INDEX($R$8:$R$12,MATCH($A35,$R$8:$R$12,1))))</f>
        <v>56.6</v>
      </c>
      <c r="P35" s="22">
        <f>IF($B$5="Low",N35,IF($B$5="High",O35,B35))</f>
        <v>45.6</v>
      </c>
    </row>
    <row r="36" spans="1:16" ht="15" customHeight="1">
      <c r="A36" s="60">
        <v>2054</v>
      </c>
      <c r="B36" s="16">
        <f>IF($A36&gt;=$R$12,S$12,INDEX(S$8:S$12,MATCH($A36,$R$8:$R$12,1))+(INDEX(S$8:S$12,MATCH($A36,$R$8:$R$12,1)+1)-INDEX(S$8:S$12,MATCH($A36,$R$8:$R$12,1)))*($A36-INDEX($R$8:$R$12,MATCH($A36,$R$8:$R$12,1)))/(INDEX($R$8:$R$12,MATCH($A36,$R$8:$R$12,1)+1)-INDEX($R$8:$R$12,MATCH($A36,$R$8:$R$12,1))))</f>
        <v>45.6</v>
      </c>
      <c r="C36" s="17">
        <f>Inputs!$B$79</f>
        <v>0.5</v>
      </c>
      <c r="D36" s="17">
        <f>Inputs!$B$80</f>
        <v>0.6</v>
      </c>
      <c r="E36" s="17">
        <f>Inputs!$B$81</f>
        <v>0.7</v>
      </c>
      <c r="F36" s="18">
        <f>IF($B$3="Low",C36,IF($B$3="High",E36,D36))</f>
        <v>0.6</v>
      </c>
      <c r="G36" s="19">
        <f>P36*F36*L36</f>
        <v>47.634422280918642</v>
      </c>
      <c r="H36" s="13">
        <f>Inputs!B40*M36</f>
        <v>50</v>
      </c>
      <c r="I36" s="19">
        <f>J36*H36+(1-J36)*G36</f>
        <v>47.634422280918642</v>
      </c>
      <c r="J36" s="18">
        <f>IF(AND($B$4="Yes",K36=1),Inputs!$B$43,0)</f>
        <v>0</v>
      </c>
      <c r="K36" s="20">
        <f>IF(AND(A36&gt;=Inputs!$B$9,A36&lt;Inputs!$B$9+Inputs!$B$44),1,0)</f>
        <v>0</v>
      </c>
      <c r="L36" s="21">
        <f>(1+Inputs!$B$63)^(A36-$A$8)</f>
        <v>1.7410242061739269</v>
      </c>
      <c r="M36" s="21">
        <f>IF(Inputs!$B$64="Yes",L36,1)</f>
        <v>1</v>
      </c>
      <c r="N36" s="16">
        <f>IF($A36&gt;=$R$12,T$12,INDEX(T$8:T$12,MATCH($A36,$R$8:$R$12,1))+(INDEX(T$8:T$12,MATCH($A36,$R$8:$R$12,1)+1)-INDEX(T$8:T$12,MATCH($A36,$R$8:$R$12,1)))*($A36-INDEX($R$8:$R$12,MATCH($A36,$R$8:$R$12,1)))/(INDEX($R$8:$R$12,MATCH($A36,$R$8:$R$12,1)+1)-INDEX($R$8:$R$12,MATCH($A36,$R$8:$R$12,1))))</f>
        <v>37.4</v>
      </c>
      <c r="O36" s="16">
        <f>IF($A36&gt;=$R$12,U$12,INDEX(U$8:U$12,MATCH($A36,$R$8:$R$12,1))+(INDEX(U$8:U$12,MATCH($A36,$R$8:$R$12,1)+1)-INDEX(U$8:U$12,MATCH($A36,$R$8:$R$12,1)))*($A36-INDEX($R$8:$R$12,MATCH($A36,$R$8:$R$12,1)))/(INDEX($R$8:$R$12,MATCH($A36,$R$8:$R$12,1)+1)-INDEX($R$8:$R$12,MATCH($A36,$R$8:$R$12,1))))</f>
        <v>56.6</v>
      </c>
      <c r="P36" s="22">
        <f>IF($B$5="Low",N36,IF($B$5="High",O36,B36))</f>
        <v>45.6</v>
      </c>
    </row>
    <row r="37" spans="1:16" ht="15" customHeight="1">
      <c r="A37" s="60">
        <v>2055</v>
      </c>
      <c r="B37" s="16">
        <f>IF($A37&gt;=$R$12,S$12,INDEX(S$8:S$12,MATCH($A37,$R$8:$R$12,1))+(INDEX(S$8:S$12,MATCH($A37,$R$8:$R$12,1)+1)-INDEX(S$8:S$12,MATCH($A37,$R$8:$R$12,1)))*($A37-INDEX($R$8:$R$12,MATCH($A37,$R$8:$R$12,1)))/(INDEX($R$8:$R$12,MATCH($A37,$R$8:$R$12,1)+1)-INDEX($R$8:$R$12,MATCH($A37,$R$8:$R$12,1))))</f>
        <v>45.6</v>
      </c>
      <c r="C37" s="17">
        <f>Inputs!$B$79</f>
        <v>0.5</v>
      </c>
      <c r="D37" s="17">
        <f>Inputs!$B$80</f>
        <v>0.6</v>
      </c>
      <c r="E37" s="17">
        <f>Inputs!$B$81</f>
        <v>0.7</v>
      </c>
      <c r="F37" s="18">
        <f>IF($B$3="Low",C37,IF($B$3="High",E37,D37))</f>
        <v>0.6</v>
      </c>
      <c r="G37" s="19">
        <f>P37*F37*L37</f>
        <v>48.587110726537006</v>
      </c>
      <c r="H37" s="13">
        <f>Inputs!B40*M37</f>
        <v>50</v>
      </c>
      <c r="I37" s="19">
        <f>J37*H37+(1-J37)*G37</f>
        <v>48.587110726537006</v>
      </c>
      <c r="J37" s="18">
        <f>IF(AND($B$4="Yes",K37=1),Inputs!$B$43,0)</f>
        <v>0</v>
      </c>
      <c r="K37" s="20">
        <f>IF(AND(A37&gt;=Inputs!$B$9,A37&lt;Inputs!$B$9+Inputs!$B$44),1,0)</f>
        <v>0</v>
      </c>
      <c r="L37" s="21">
        <f>(1+Inputs!$B$63)^(A37-$A$8)</f>
        <v>1.7758446902974052</v>
      </c>
      <c r="M37" s="21">
        <f>IF(Inputs!$B$64="Yes",L37,1)</f>
        <v>1</v>
      </c>
      <c r="N37" s="16">
        <f>IF($A37&gt;=$R$12,T$12,INDEX(T$8:T$12,MATCH($A37,$R$8:$R$12,1))+(INDEX(T$8:T$12,MATCH($A37,$R$8:$R$12,1)+1)-INDEX(T$8:T$12,MATCH($A37,$R$8:$R$12,1)))*($A37-INDEX($R$8:$R$12,MATCH($A37,$R$8:$R$12,1)))/(INDEX($R$8:$R$12,MATCH($A37,$R$8:$R$12,1)+1)-INDEX($R$8:$R$12,MATCH($A37,$R$8:$R$12,1))))</f>
        <v>37.4</v>
      </c>
      <c r="O37" s="16">
        <f>IF($A37&gt;=$R$12,U$12,INDEX(U$8:U$12,MATCH($A37,$R$8:$R$12,1))+(INDEX(U$8:U$12,MATCH($A37,$R$8:$R$12,1)+1)-INDEX(U$8:U$12,MATCH($A37,$R$8:$R$12,1)))*($A37-INDEX($R$8:$R$12,MATCH($A37,$R$8:$R$12,1)))/(INDEX($R$8:$R$12,MATCH($A37,$R$8:$R$12,1)+1)-INDEX($R$8:$R$12,MATCH($A37,$R$8:$R$12,1))))</f>
        <v>56.6</v>
      </c>
      <c r="P37" s="22">
        <f>IF($B$5="Low",N37,IF($B$5="High",O37,B37))</f>
        <v>45.6</v>
      </c>
    </row>
    <row r="38" spans="1:16" ht="15" customHeight="1">
      <c r="A38" s="60">
        <v>2056</v>
      </c>
      <c r="B38" s="16">
        <f>IF($A38&gt;=$R$12,S$12,INDEX(S$8:S$12,MATCH($A38,$R$8:$R$12,1))+(INDEX(S$8:S$12,MATCH($A38,$R$8:$R$12,1)+1)-INDEX(S$8:S$12,MATCH($A38,$R$8:$R$12,1)))*($A38-INDEX($R$8:$R$12,MATCH($A38,$R$8:$R$12,1)))/(INDEX($R$8:$R$12,MATCH($A38,$R$8:$R$12,1)+1)-INDEX($R$8:$R$12,MATCH($A38,$R$8:$R$12,1))))</f>
        <v>45.6</v>
      </c>
      <c r="C38" s="17">
        <f>Inputs!$B$79</f>
        <v>0.5</v>
      </c>
      <c r="D38" s="17">
        <f>Inputs!$B$80</f>
        <v>0.6</v>
      </c>
      <c r="E38" s="17">
        <f>Inputs!$B$81</f>
        <v>0.7</v>
      </c>
      <c r="F38" s="18">
        <f>IF($B$3="Low",C38,IF($B$3="High",E38,D38))</f>
        <v>0.6</v>
      </c>
      <c r="G38" s="19">
        <f>P38*F38*L38</f>
        <v>49.558852941067748</v>
      </c>
      <c r="H38" s="13">
        <f>Inputs!B40*M38</f>
        <v>50</v>
      </c>
      <c r="I38" s="19">
        <f>J38*H38+(1-J38)*G38</f>
        <v>49.558852941067748</v>
      </c>
      <c r="J38" s="18">
        <f>IF(AND($B$4="Yes",K38=1),Inputs!$B$43,0)</f>
        <v>0</v>
      </c>
      <c r="K38" s="20">
        <f>IF(AND(A38&gt;=Inputs!$B$9,A38&lt;Inputs!$B$9+Inputs!$B$44),1,0)</f>
        <v>0</v>
      </c>
      <c r="L38" s="21">
        <f>(1+Inputs!$B$63)^(A38-$A$8)</f>
        <v>1.8113615841033535</v>
      </c>
      <c r="M38" s="21">
        <f>IF(Inputs!$B$64="Yes",L38,1)</f>
        <v>1</v>
      </c>
      <c r="N38" s="16">
        <f>IF($A38&gt;=$R$12,T$12,INDEX(T$8:T$12,MATCH($A38,$R$8:$R$12,1))+(INDEX(T$8:T$12,MATCH($A38,$R$8:$R$12,1)+1)-INDEX(T$8:T$12,MATCH($A38,$R$8:$R$12,1)))*($A38-INDEX($R$8:$R$12,MATCH($A38,$R$8:$R$12,1)))/(INDEX($R$8:$R$12,MATCH($A38,$R$8:$R$12,1)+1)-INDEX($R$8:$R$12,MATCH($A38,$R$8:$R$12,1))))</f>
        <v>37.4</v>
      </c>
      <c r="O38" s="16">
        <f>IF($A38&gt;=$R$12,U$12,INDEX(U$8:U$12,MATCH($A38,$R$8:$R$12,1))+(INDEX(U$8:U$12,MATCH($A38,$R$8:$R$12,1)+1)-INDEX(U$8:U$12,MATCH($A38,$R$8:$R$12,1)))*($A38-INDEX($R$8:$R$12,MATCH($A38,$R$8:$R$12,1)))/(INDEX($R$8:$R$12,MATCH($A38,$R$8:$R$12,1)+1)-INDEX($R$8:$R$12,MATCH($A38,$R$8:$R$12,1))))</f>
        <v>56.6</v>
      </c>
      <c r="P38" s="22">
        <f>IF($B$5="Low",N38,IF($B$5="High",O38,B38))</f>
        <v>45.6</v>
      </c>
    </row>
    <row r="39" spans="1:16" ht="15" customHeight="1">
      <c r="A39" s="60">
        <v>2057</v>
      </c>
      <c r="B39" s="16">
        <f>IF($A39&gt;=$R$12,S$12,INDEX(S$8:S$12,MATCH($A39,$R$8:$R$12,1))+(INDEX(S$8:S$12,MATCH($A39,$R$8:$R$12,1)+1)-INDEX(S$8:S$12,MATCH($A39,$R$8:$R$12,1)))*($A39-INDEX($R$8:$R$12,MATCH($A39,$R$8:$R$12,1)))/(INDEX($R$8:$R$12,MATCH($A39,$R$8:$R$12,1)+1)-INDEX($R$8:$R$12,MATCH($A39,$R$8:$R$12,1))))</f>
        <v>45.6</v>
      </c>
      <c r="C39" s="17">
        <f>Inputs!$B$79</f>
        <v>0.5</v>
      </c>
      <c r="D39" s="17">
        <f>Inputs!$B$80</f>
        <v>0.6</v>
      </c>
      <c r="E39" s="17">
        <f>Inputs!$B$81</f>
        <v>0.7</v>
      </c>
      <c r="F39" s="18">
        <f>IF($B$3="Low",C39,IF($B$3="High",E39,D39))</f>
        <v>0.6</v>
      </c>
      <c r="G39" s="19">
        <f>P39*F39*L39</f>
        <v>50.550029999889091</v>
      </c>
      <c r="H39" s="13">
        <f>Inputs!$B$40*M39</f>
        <v>50</v>
      </c>
      <c r="I39" s="19">
        <f>J39*H39+(1-J39)*G39</f>
        <v>50.550029999889091</v>
      </c>
      <c r="J39" s="18">
        <f>IF(AND($B$4="Yes",K39=1),Inputs!$B$43,0)</f>
        <v>0</v>
      </c>
      <c r="K39" s="20">
        <f>IF(AND(A39&gt;=Inputs!$B$9,A39&lt;Inputs!$B$9+Inputs!$B$44),1,0)</f>
        <v>0</v>
      </c>
      <c r="L39" s="21">
        <f>(1+Inputs!$B$63)^(A39-$A$8)</f>
        <v>1.8475888157854201</v>
      </c>
      <c r="M39" s="21">
        <f>IF(Inputs!$B$64="Yes",L39,1)</f>
        <v>1</v>
      </c>
      <c r="N39" s="16">
        <f>IF($A39&gt;=$R$12,T$12,INDEX(T$8:T$12,MATCH($A39,$R$8:$R$12,1))+(INDEX(T$8:T$12,MATCH($A39,$R$8:$R$12,1)+1)-INDEX(T$8:T$12,MATCH($A39,$R$8:$R$12,1)))*($A39-INDEX($R$8:$R$12,MATCH($A39,$R$8:$R$12,1)))/(INDEX($R$8:$R$12,MATCH($A39,$R$8:$R$12,1)+1)-INDEX($R$8:$R$12,MATCH($A39,$R$8:$R$12,1))))</f>
        <v>37.4</v>
      </c>
      <c r="O39" s="16">
        <f>IF($A39&gt;=$R$12,U$12,INDEX(U$8:U$12,MATCH($A39,$R$8:$R$12,1))+(INDEX(U$8:U$12,MATCH($A39,$R$8:$R$12,1)+1)-INDEX(U$8:U$12,MATCH($A39,$R$8:$R$12,1)))*($A39-INDEX($R$8:$R$12,MATCH($A39,$R$8:$R$12,1)))/(INDEX($R$8:$R$12,MATCH($A39,$R$8:$R$12,1)+1)-INDEX($R$8:$R$12,MATCH($A39,$R$8:$R$12,1))))</f>
        <v>56.6</v>
      </c>
      <c r="P39" s="22">
        <f>IF($B$5="Low",N39,IF($B$5="High",O39,B39))</f>
        <v>45.6</v>
      </c>
    </row>
    <row r="40" spans="1:16" ht="15.75" customHeight="1">
      <c r="A40" s="60">
        <v>2058</v>
      </c>
      <c r="B40" s="16">
        <f>IF($A40&gt;=$R$12,S$12,INDEX(S$8:S$12,MATCH($A40,$R$8:$R$12,1))+(INDEX(S$8:S$12,MATCH($A40,$R$8:$R$12,1)+1)-INDEX(S$8:S$12,MATCH($A40,$R$8:$R$12,1)))*($A40-INDEX($R$8:$R$12,MATCH($A40,$R$8:$R$12,1)))/(INDEX($R$8:$R$12,MATCH($A40,$R$8:$R$12,1)+1)-INDEX($R$8:$R$12,MATCH($A40,$R$8:$R$12,1))))</f>
        <v>45.6</v>
      </c>
      <c r="C40" s="17">
        <f>Inputs!$B$79</f>
        <v>0.5</v>
      </c>
      <c r="D40" s="17">
        <f>Inputs!$B$80</f>
        <v>0.6</v>
      </c>
      <c r="E40" s="17">
        <f>Inputs!$B$81</f>
        <v>0.7</v>
      </c>
      <c r="F40" s="18">
        <f>IF($B$3="Low",C40,IF($B$3="High",E40,D40))</f>
        <v>0.6</v>
      </c>
      <c r="G40" s="19">
        <f>P40*F40*L40</f>
        <v>51.561030599886884</v>
      </c>
      <c r="H40" s="13">
        <f>Inputs!$B$40*M40</f>
        <v>50</v>
      </c>
      <c r="I40" s="19">
        <f>J40*H40+(1-J40)*G40</f>
        <v>51.561030599886884</v>
      </c>
      <c r="J40" s="18">
        <f>IF(AND($B$4="Yes",K40=1),Inputs!$B$43,0)</f>
        <v>0</v>
      </c>
      <c r="K40" s="20">
        <f>IF(AND(A40&gt;=Inputs!$B$9,A40&lt;Inputs!$B$9+Inputs!$B$44),1,0)</f>
        <v>0</v>
      </c>
      <c r="L40" s="21">
        <f>(1+Inputs!$B$63)^(A40-$A$8)</f>
        <v>1.8845405921011289</v>
      </c>
      <c r="M40" s="21">
        <f>IF(Inputs!$B$64="Yes",L40,1)</f>
        <v>1</v>
      </c>
      <c r="N40" s="16">
        <f>IF($A40&gt;=$R$12,T$12,INDEX(T$8:T$12,MATCH($A40,$R$8:$R$12,1))+(INDEX(T$8:T$12,MATCH($A40,$R$8:$R$12,1)+1)-INDEX(T$8:T$12,MATCH($A40,$R$8:$R$12,1)))*($A40-INDEX($R$8:$R$12,MATCH($A40,$R$8:$R$12,1)))/(INDEX($R$8:$R$12,MATCH($A40,$R$8:$R$12,1)+1)-INDEX($R$8:$R$12,MATCH($A40,$R$8:$R$12,1))))</f>
        <v>37.4</v>
      </c>
      <c r="O40" s="16">
        <f>IF($A40&gt;=$R$12,U$12,INDEX(U$8:U$12,MATCH($A40,$R$8:$R$12,1))+(INDEX(U$8:U$12,MATCH($A40,$R$8:$R$12,1)+1)-INDEX(U$8:U$12,MATCH($A40,$R$8:$R$12,1)))*($A40-INDEX($R$8:$R$12,MATCH($A40,$R$8:$R$12,1)))/(INDEX($R$8:$R$12,MATCH($A40,$R$8:$R$12,1)+1)-INDEX($R$8:$R$12,MATCH($A40,$R$8:$R$12,1))))</f>
        <v>56.6</v>
      </c>
      <c r="P40" s="22">
        <f>IF($B$5="Low",N40,IF($B$5="High",O40,B40))</f>
        <v>45.6</v>
      </c>
    </row>
    <row r="42" spans="1:16" ht="409.5" customHeight="1">
      <c r="A42" s="23" t="s">
        <v>260</v>
      </c>
    </row>
  </sheetData>
  <mergeCells count="2">
    <mergeCell ref="A1:I1"/>
    <mergeCell ref="A6:I6"/>
  </mergeCells>
  <pageMargins left="0.75" right="0.75" top="1" bottom="1" header="0.511811023622047" footer="0.5"/>
  <pageSetup fitToHeight="0" orientation="portrait" horizontalDpi="300" verticalDpi="300"/>
  <headerFooter>
    <oddFooter>&amp;CFinnish Onshore Wind Project Finance Model&amp;RPage &amp;P of &amp;N</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365D"/>
    <pageSetUpPr fitToPage="1"/>
  </sheetPr>
  <dimension ref="A1:N39"/>
  <sheetViews>
    <sheetView showGridLines="0" zoomScaleNormal="100" workbookViewId="0">
      <pane ySplit="4" topLeftCell="A5" activePane="bottomLeft" state="frozen"/>
      <selection pane="bottomLeft" activeCell="D11" sqref="D11"/>
    </sheetView>
  </sheetViews>
  <sheetFormatPr defaultColWidth="8.7109375" defaultRowHeight="15"/>
  <cols>
    <col min="1" max="1" width="12" style="1" customWidth="1"/>
    <col min="2" max="7" width="16" style="1" customWidth="1"/>
    <col min="8" max="14" width="18" style="1" customWidth="1"/>
  </cols>
  <sheetData>
    <row r="1" spans="1:14" ht="27.75" customHeight="1">
      <c r="A1" s="63" t="s">
        <v>261</v>
      </c>
      <c r="B1" s="63"/>
      <c r="C1" s="63"/>
      <c r="D1" s="63"/>
      <c r="E1" s="63"/>
      <c r="F1" s="63"/>
      <c r="G1" s="63"/>
      <c r="H1" s="63"/>
      <c r="I1" s="63"/>
      <c r="J1" s="63"/>
      <c r="K1" s="63"/>
      <c r="L1" s="63"/>
    </row>
    <row r="3" spans="1:14" ht="19.5" customHeight="1">
      <c r="A3" s="64" t="s">
        <v>262</v>
      </c>
      <c r="B3" s="64"/>
      <c r="C3" s="64"/>
      <c r="D3" s="64"/>
      <c r="E3" s="64"/>
      <c r="F3" s="64"/>
      <c r="G3" s="64"/>
      <c r="H3" s="64"/>
      <c r="I3" s="64"/>
      <c r="J3" s="64"/>
      <c r="K3" s="64"/>
      <c r="L3" s="64"/>
    </row>
    <row r="4" spans="1:14" ht="27.75" customHeight="1">
      <c r="A4" s="62" t="s">
        <v>238</v>
      </c>
      <c r="B4" s="62" t="s">
        <v>263</v>
      </c>
      <c r="C4" s="62" t="s">
        <v>264</v>
      </c>
      <c r="D4" s="62" t="s">
        <v>265</v>
      </c>
      <c r="E4" s="62" t="s">
        <v>266</v>
      </c>
      <c r="F4" s="62" t="s">
        <v>73</v>
      </c>
      <c r="G4" s="62" t="s">
        <v>267</v>
      </c>
      <c r="H4" s="62" t="s">
        <v>268</v>
      </c>
      <c r="I4" s="62" t="s">
        <v>269</v>
      </c>
      <c r="J4" s="62" t="s">
        <v>270</v>
      </c>
      <c r="K4" s="62" t="s">
        <v>271</v>
      </c>
      <c r="L4" s="62" t="s">
        <v>6</v>
      </c>
      <c r="M4" s="62" t="s">
        <v>272</v>
      </c>
      <c r="N4" s="62" t="s">
        <v>273</v>
      </c>
    </row>
    <row r="5" spans="1:14" ht="15" customHeight="1">
      <c r="A5" s="60">
        <v>2026</v>
      </c>
      <c r="B5" s="2">
        <f>Inputs!B7</f>
        <v>100</v>
      </c>
      <c r="C5" s="6">
        <f>Inputs!B10</f>
        <v>0.35</v>
      </c>
      <c r="D5" s="24">
        <f>IF(OR(MOD(A5,400)=0,AND(MOD(A5,4)=0,MOD(A5,100)&lt;&gt;0)),8784,8760)</f>
        <v>8760</v>
      </c>
      <c r="E5" s="24">
        <f>B5*C5*D5*M5</f>
        <v>0</v>
      </c>
      <c r="F5" s="24">
        <f>E5*Inputs!B11</f>
        <v>0</v>
      </c>
      <c r="G5" s="24">
        <f>E5-F5</f>
        <v>0</v>
      </c>
      <c r="H5" s="24">
        <f>Inputs!$B$26*Inputs!$B$24*N5</f>
        <v>0</v>
      </c>
      <c r="I5" s="24">
        <f>H5*Inputs!$B$25</f>
        <v>0</v>
      </c>
      <c r="J5" s="24">
        <f>G5</f>
        <v>0</v>
      </c>
      <c r="K5" s="60"/>
      <c r="L5" s="60" t="s">
        <v>274</v>
      </c>
      <c r="M5" s="24">
        <f>IF(AND(A5&gt;=Inputs!$B$9,A5&lt;Inputs!$B$9+Inputs!$B$8),1,0)</f>
        <v>0</v>
      </c>
      <c r="N5" s="24">
        <f>IF(AND(M5=1,Inputs!$B$24&gt;0),1,0)</f>
        <v>0</v>
      </c>
    </row>
    <row r="6" spans="1:14" ht="15" customHeight="1">
      <c r="A6" s="60">
        <v>2027</v>
      </c>
      <c r="B6" s="2">
        <f>Inputs!B7</f>
        <v>100</v>
      </c>
      <c r="C6" s="6">
        <f>Inputs!B10</f>
        <v>0.35</v>
      </c>
      <c r="D6" s="24">
        <f>IF(OR(MOD(A6,400)=0,AND(MOD(A6,4)=0,MOD(A6,100)&lt;&gt;0)),8784,8760)</f>
        <v>8760</v>
      </c>
      <c r="E6" s="24">
        <f>B6*C6*D6*M6</f>
        <v>0</v>
      </c>
      <c r="F6" s="24">
        <f>E6*Inputs!B11</f>
        <v>0</v>
      </c>
      <c r="G6" s="24">
        <f>E6-F6</f>
        <v>0</v>
      </c>
      <c r="H6" s="24">
        <f>Inputs!$B$26*Inputs!$B$24*N6</f>
        <v>0</v>
      </c>
      <c r="I6" s="24">
        <f>H6*Inputs!$B$25</f>
        <v>0</v>
      </c>
      <c r="J6" s="24">
        <f>G6</f>
        <v>0</v>
      </c>
      <c r="K6" s="60"/>
      <c r="L6" s="60" t="s">
        <v>274</v>
      </c>
      <c r="M6" s="24">
        <f>IF(AND(A6&gt;=Inputs!$B$9,A6&lt;Inputs!$B$9+Inputs!$B$8),1,0)</f>
        <v>0</v>
      </c>
      <c r="N6" s="24">
        <f>IF(AND(M6=1,Inputs!$B$24&gt;0),1,0)</f>
        <v>0</v>
      </c>
    </row>
    <row r="7" spans="1:14" ht="15" customHeight="1">
      <c r="A7" s="60">
        <v>2028</v>
      </c>
      <c r="B7" s="2">
        <f>Inputs!B7</f>
        <v>100</v>
      </c>
      <c r="C7" s="6">
        <f>Inputs!B10</f>
        <v>0.35</v>
      </c>
      <c r="D7" s="24">
        <f>IF(OR(MOD(A7,400)=0,AND(MOD(A7,4)=0,MOD(A7,100)&lt;&gt;0)),8784,8760)</f>
        <v>8784</v>
      </c>
      <c r="E7" s="24">
        <f>B7*C7*D7*M7</f>
        <v>307440</v>
      </c>
      <c r="F7" s="24">
        <f>E7*Inputs!B11</f>
        <v>15372</v>
      </c>
      <c r="G7" s="24">
        <f>E7-F7</f>
        <v>292068</v>
      </c>
      <c r="H7" s="24">
        <f>Inputs!$B$26*Inputs!$B$24*N7</f>
        <v>0</v>
      </c>
      <c r="I7" s="24">
        <f>H7*Inputs!$B$25</f>
        <v>0</v>
      </c>
      <c r="J7" s="24">
        <f>G7</f>
        <v>292068</v>
      </c>
      <c r="K7" s="60"/>
      <c r="L7" s="60" t="s">
        <v>274</v>
      </c>
      <c r="M7" s="24">
        <f>IF(AND(A7&gt;=Inputs!$B$9,A7&lt;Inputs!$B$9+Inputs!$B$8),1,0)</f>
        <v>1</v>
      </c>
      <c r="N7" s="24">
        <f>IF(AND(M7=1,Inputs!$B$24&gt;0),1,0)</f>
        <v>0</v>
      </c>
    </row>
    <row r="8" spans="1:14" ht="15" customHeight="1">
      <c r="A8" s="60">
        <v>2029</v>
      </c>
      <c r="B8" s="2">
        <f>Inputs!B7</f>
        <v>100</v>
      </c>
      <c r="C8" s="6">
        <f>Inputs!B10</f>
        <v>0.35</v>
      </c>
      <c r="D8" s="24">
        <f>IF(OR(MOD(A8,400)=0,AND(MOD(A8,4)=0,MOD(A8,100)&lt;&gt;0)),8784,8760)</f>
        <v>8760</v>
      </c>
      <c r="E8" s="24">
        <f>B8*C8*D8*M8</f>
        <v>306600</v>
      </c>
      <c r="F8" s="24">
        <f>E8*Inputs!B11</f>
        <v>15330</v>
      </c>
      <c r="G8" s="24">
        <f>E8-F8</f>
        <v>291270</v>
      </c>
      <c r="H8" s="24">
        <f>Inputs!$B$26*Inputs!$B$24*N8</f>
        <v>0</v>
      </c>
      <c r="I8" s="24">
        <f>H8*Inputs!$B$25</f>
        <v>0</v>
      </c>
      <c r="J8" s="24">
        <f>G8</f>
        <v>291270</v>
      </c>
      <c r="K8" s="60"/>
      <c r="L8" s="60" t="s">
        <v>274</v>
      </c>
      <c r="M8" s="24">
        <f>IF(AND(A8&gt;=Inputs!$B$9,A8&lt;Inputs!$B$9+Inputs!$B$8),1,0)</f>
        <v>1</v>
      </c>
      <c r="N8" s="24">
        <f>IF(AND(M8=1,Inputs!$B$24&gt;0),1,0)</f>
        <v>0</v>
      </c>
    </row>
    <row r="9" spans="1:14" ht="15" customHeight="1">
      <c r="A9" s="60">
        <v>2030</v>
      </c>
      <c r="B9" s="2">
        <f>Inputs!B7</f>
        <v>100</v>
      </c>
      <c r="C9" s="6">
        <f>Inputs!B10</f>
        <v>0.35</v>
      </c>
      <c r="D9" s="24">
        <f>IF(OR(MOD(A9,400)=0,AND(MOD(A9,4)=0,MOD(A9,100)&lt;&gt;0)),8784,8760)</f>
        <v>8760</v>
      </c>
      <c r="E9" s="24">
        <f>B9*C9*D9*M9</f>
        <v>306600</v>
      </c>
      <c r="F9" s="24">
        <f>E9*Inputs!B11</f>
        <v>15330</v>
      </c>
      <c r="G9" s="24">
        <f>E9-F9</f>
        <v>291270</v>
      </c>
      <c r="H9" s="24">
        <f>Inputs!$B$26*Inputs!$B$24*N9</f>
        <v>0</v>
      </c>
      <c r="I9" s="24">
        <f>H9*Inputs!$B$25</f>
        <v>0</v>
      </c>
      <c r="J9" s="24">
        <f>G9</f>
        <v>291270</v>
      </c>
      <c r="K9" s="60"/>
      <c r="L9" s="60" t="s">
        <v>274</v>
      </c>
      <c r="M9" s="24">
        <f>IF(AND(A9&gt;=Inputs!$B$9,A9&lt;Inputs!$B$9+Inputs!$B$8),1,0)</f>
        <v>1</v>
      </c>
      <c r="N9" s="24">
        <f>IF(AND(M9=1,Inputs!$B$24&gt;0),1,0)</f>
        <v>0</v>
      </c>
    </row>
    <row r="10" spans="1:14" ht="15" customHeight="1">
      <c r="A10" s="60">
        <v>2031</v>
      </c>
      <c r="B10" s="2">
        <f>Inputs!B7</f>
        <v>100</v>
      </c>
      <c r="C10" s="6">
        <f>Inputs!B10</f>
        <v>0.35</v>
      </c>
      <c r="D10" s="24">
        <f>IF(OR(MOD(A10,400)=0,AND(MOD(A10,4)=0,MOD(A10,100)&lt;&gt;0)),8784,8760)</f>
        <v>8760</v>
      </c>
      <c r="E10" s="24">
        <f>B10*C10*D10*M10</f>
        <v>306600</v>
      </c>
      <c r="F10" s="24">
        <f>E10*Inputs!B11</f>
        <v>15330</v>
      </c>
      <c r="G10" s="24">
        <f>E10-F10</f>
        <v>291270</v>
      </c>
      <c r="H10" s="24">
        <f>Inputs!$B$26*Inputs!$B$24*N10</f>
        <v>0</v>
      </c>
      <c r="I10" s="24">
        <f>H10*Inputs!$B$25</f>
        <v>0</v>
      </c>
      <c r="J10" s="24">
        <f>G10</f>
        <v>291270</v>
      </c>
      <c r="K10" s="60"/>
      <c r="L10" s="60" t="s">
        <v>274</v>
      </c>
      <c r="M10" s="24">
        <f>IF(AND(A10&gt;=Inputs!$B$9,A10&lt;Inputs!$B$9+Inputs!$B$8),1,0)</f>
        <v>1</v>
      </c>
      <c r="N10" s="24">
        <f>IF(AND(M10=1,Inputs!$B$24&gt;0),1,0)</f>
        <v>0</v>
      </c>
    </row>
    <row r="11" spans="1:14" ht="15" customHeight="1">
      <c r="A11" s="60">
        <v>2032</v>
      </c>
      <c r="B11" s="2">
        <f>Inputs!B7</f>
        <v>100</v>
      </c>
      <c r="C11" s="6">
        <f>Inputs!B10</f>
        <v>0.35</v>
      </c>
      <c r="D11" s="24">
        <f>IF(OR(MOD(A11,400)=0,AND(MOD(A11,4)=0,MOD(A11,100)&lt;&gt;0)),8784,8760)</f>
        <v>8784</v>
      </c>
      <c r="E11" s="24">
        <f>B11*C11*D11*M11</f>
        <v>307440</v>
      </c>
      <c r="F11" s="24">
        <f>E11*Inputs!B11</f>
        <v>15372</v>
      </c>
      <c r="G11" s="24">
        <f>E11-F11</f>
        <v>292068</v>
      </c>
      <c r="H11" s="24">
        <f>Inputs!$B$26*Inputs!$B$24*N11</f>
        <v>0</v>
      </c>
      <c r="I11" s="24">
        <f>H11*Inputs!$B$25</f>
        <v>0</v>
      </c>
      <c r="J11" s="24">
        <f>G11</f>
        <v>292068</v>
      </c>
      <c r="K11" s="60"/>
      <c r="L11" s="60" t="s">
        <v>274</v>
      </c>
      <c r="M11" s="24">
        <f>IF(AND(A11&gt;=Inputs!$B$9,A11&lt;Inputs!$B$9+Inputs!$B$8),1,0)</f>
        <v>1</v>
      </c>
      <c r="N11" s="24">
        <f>IF(AND(M11=1,Inputs!$B$24&gt;0),1,0)</f>
        <v>0</v>
      </c>
    </row>
    <row r="12" spans="1:14" ht="15" customHeight="1">
      <c r="A12" s="60">
        <v>2033</v>
      </c>
      <c r="B12" s="2">
        <f>Inputs!B7</f>
        <v>100</v>
      </c>
      <c r="C12" s="6">
        <f>Inputs!B10</f>
        <v>0.35</v>
      </c>
      <c r="D12" s="24">
        <f>IF(OR(MOD(A12,400)=0,AND(MOD(A12,4)=0,MOD(A12,100)&lt;&gt;0)),8784,8760)</f>
        <v>8760</v>
      </c>
      <c r="E12" s="24">
        <f>B12*C12*D12*M12</f>
        <v>306600</v>
      </c>
      <c r="F12" s="24">
        <f>E12*Inputs!B11</f>
        <v>15330</v>
      </c>
      <c r="G12" s="24">
        <f>E12-F12</f>
        <v>291270</v>
      </c>
      <c r="H12" s="24">
        <f>Inputs!$B$26*Inputs!$B$24*N12</f>
        <v>0</v>
      </c>
      <c r="I12" s="24">
        <f>H12*Inputs!$B$25</f>
        <v>0</v>
      </c>
      <c r="J12" s="24">
        <f>G12</f>
        <v>291270</v>
      </c>
      <c r="K12" s="60"/>
      <c r="L12" s="60" t="s">
        <v>274</v>
      </c>
      <c r="M12" s="24">
        <f>IF(AND(A12&gt;=Inputs!$B$9,A12&lt;Inputs!$B$9+Inputs!$B$8),1,0)</f>
        <v>1</v>
      </c>
      <c r="N12" s="24">
        <f>IF(AND(M12=1,Inputs!$B$24&gt;0),1,0)</f>
        <v>0</v>
      </c>
    </row>
    <row r="13" spans="1:14" ht="15" customHeight="1">
      <c r="A13" s="60">
        <v>2034</v>
      </c>
      <c r="B13" s="2">
        <f>Inputs!B7</f>
        <v>100</v>
      </c>
      <c r="C13" s="6">
        <f>Inputs!B10</f>
        <v>0.35</v>
      </c>
      <c r="D13" s="24">
        <f>IF(OR(MOD(A13,400)=0,AND(MOD(A13,4)=0,MOD(A13,100)&lt;&gt;0)),8784,8760)</f>
        <v>8760</v>
      </c>
      <c r="E13" s="24">
        <f>B13*C13*D13*M13</f>
        <v>306600</v>
      </c>
      <c r="F13" s="24">
        <f>E13*Inputs!B11</f>
        <v>15330</v>
      </c>
      <c r="G13" s="24">
        <f>E13-F13</f>
        <v>291270</v>
      </c>
      <c r="H13" s="24">
        <f>Inputs!$B$26*Inputs!$B$24*N13</f>
        <v>0</v>
      </c>
      <c r="I13" s="24">
        <f>H13*Inputs!$B$25</f>
        <v>0</v>
      </c>
      <c r="J13" s="24">
        <f>G13</f>
        <v>291270</v>
      </c>
      <c r="K13" s="60"/>
      <c r="L13" s="60" t="s">
        <v>274</v>
      </c>
      <c r="M13" s="24">
        <f>IF(AND(A13&gt;=Inputs!$B$9,A13&lt;Inputs!$B$9+Inputs!$B$8),1,0)</f>
        <v>1</v>
      </c>
      <c r="N13" s="24">
        <f>IF(AND(M13=1,Inputs!$B$24&gt;0),1,0)</f>
        <v>0</v>
      </c>
    </row>
    <row r="14" spans="1:14" ht="15" customHeight="1">
      <c r="A14" s="60">
        <v>2035</v>
      </c>
      <c r="B14" s="2">
        <f>Inputs!B7</f>
        <v>100</v>
      </c>
      <c r="C14" s="6">
        <f>Inputs!B10</f>
        <v>0.35</v>
      </c>
      <c r="D14" s="24">
        <f>IF(OR(MOD(A14,400)=0,AND(MOD(A14,4)=0,MOD(A14,100)&lt;&gt;0)),8784,8760)</f>
        <v>8760</v>
      </c>
      <c r="E14" s="24">
        <f>B14*C14*D14*M14</f>
        <v>306600</v>
      </c>
      <c r="F14" s="24">
        <f>E14*Inputs!B11</f>
        <v>15330</v>
      </c>
      <c r="G14" s="24">
        <f>E14-F14</f>
        <v>291270</v>
      </c>
      <c r="H14" s="24">
        <f>Inputs!$B$26*Inputs!$B$24*N14</f>
        <v>0</v>
      </c>
      <c r="I14" s="24">
        <f>H14*Inputs!$B$25</f>
        <v>0</v>
      </c>
      <c r="J14" s="24">
        <f>G14</f>
        <v>291270</v>
      </c>
      <c r="K14" s="60"/>
      <c r="L14" s="60" t="s">
        <v>274</v>
      </c>
      <c r="M14" s="24">
        <f>IF(AND(A14&gt;=Inputs!$B$9,A14&lt;Inputs!$B$9+Inputs!$B$8),1,0)</f>
        <v>1</v>
      </c>
      <c r="N14" s="24">
        <f>IF(AND(M14=1,Inputs!$B$24&gt;0),1,0)</f>
        <v>0</v>
      </c>
    </row>
    <row r="15" spans="1:14" ht="15" customHeight="1">
      <c r="A15" s="60">
        <v>2036</v>
      </c>
      <c r="B15" s="2">
        <f>Inputs!B7</f>
        <v>100</v>
      </c>
      <c r="C15" s="6">
        <f>Inputs!B10</f>
        <v>0.35</v>
      </c>
      <c r="D15" s="24">
        <f>IF(OR(MOD(A15,400)=0,AND(MOD(A15,4)=0,MOD(A15,100)&lt;&gt;0)),8784,8760)</f>
        <v>8784</v>
      </c>
      <c r="E15" s="24">
        <f>B15*C15*D15*M15</f>
        <v>307440</v>
      </c>
      <c r="F15" s="24">
        <f>E15*Inputs!B11</f>
        <v>15372</v>
      </c>
      <c r="G15" s="24">
        <f>E15-F15</f>
        <v>292068</v>
      </c>
      <c r="H15" s="24">
        <f>Inputs!$B$26*Inputs!$B$24*N15</f>
        <v>0</v>
      </c>
      <c r="I15" s="24">
        <f>H15*Inputs!$B$25</f>
        <v>0</v>
      </c>
      <c r="J15" s="24">
        <f>G15</f>
        <v>292068</v>
      </c>
      <c r="K15" s="60"/>
      <c r="L15" s="60" t="s">
        <v>274</v>
      </c>
      <c r="M15" s="24">
        <f>IF(AND(A15&gt;=Inputs!$B$9,A15&lt;Inputs!$B$9+Inputs!$B$8),1,0)</f>
        <v>1</v>
      </c>
      <c r="N15" s="24">
        <f>IF(AND(M15=1,Inputs!$B$24&gt;0),1,0)</f>
        <v>0</v>
      </c>
    </row>
    <row r="16" spans="1:14" ht="15" customHeight="1">
      <c r="A16" s="60">
        <v>2037</v>
      </c>
      <c r="B16" s="2">
        <f>Inputs!B7</f>
        <v>100</v>
      </c>
      <c r="C16" s="6">
        <f>Inputs!B10</f>
        <v>0.35</v>
      </c>
      <c r="D16" s="24">
        <f>IF(OR(MOD(A16,400)=0,AND(MOD(A16,4)=0,MOD(A16,100)&lt;&gt;0)),8784,8760)</f>
        <v>8760</v>
      </c>
      <c r="E16" s="24">
        <f>B16*C16*D16*M16</f>
        <v>306600</v>
      </c>
      <c r="F16" s="24">
        <f>E16*Inputs!B11</f>
        <v>15330</v>
      </c>
      <c r="G16" s="24">
        <f>E16-F16</f>
        <v>291270</v>
      </c>
      <c r="H16" s="24">
        <f>Inputs!$B$26*Inputs!$B$24*N16</f>
        <v>0</v>
      </c>
      <c r="I16" s="24">
        <f>H16*Inputs!$B$25</f>
        <v>0</v>
      </c>
      <c r="J16" s="24">
        <f>G16</f>
        <v>291270</v>
      </c>
      <c r="K16" s="60"/>
      <c r="L16" s="60" t="s">
        <v>274</v>
      </c>
      <c r="M16" s="24">
        <f>IF(AND(A16&gt;=Inputs!$B$9,A16&lt;Inputs!$B$9+Inputs!$B$8),1,0)</f>
        <v>1</v>
      </c>
      <c r="N16" s="24">
        <f>IF(AND(M16=1,Inputs!$B$24&gt;0),1,0)</f>
        <v>0</v>
      </c>
    </row>
    <row r="17" spans="1:14" ht="15" customHeight="1">
      <c r="A17" s="60">
        <v>2038</v>
      </c>
      <c r="B17" s="2">
        <f>Inputs!B7</f>
        <v>100</v>
      </c>
      <c r="C17" s="6">
        <f>Inputs!B10</f>
        <v>0.35</v>
      </c>
      <c r="D17" s="24">
        <f>IF(OR(MOD(A17,400)=0,AND(MOD(A17,4)=0,MOD(A17,100)&lt;&gt;0)),8784,8760)</f>
        <v>8760</v>
      </c>
      <c r="E17" s="24">
        <f>B17*C17*D17*M17</f>
        <v>306600</v>
      </c>
      <c r="F17" s="24">
        <f>E17*Inputs!B11</f>
        <v>15330</v>
      </c>
      <c r="G17" s="24">
        <f>E17-F17</f>
        <v>291270</v>
      </c>
      <c r="H17" s="24">
        <f>Inputs!$B$26*Inputs!$B$24*N17</f>
        <v>0</v>
      </c>
      <c r="I17" s="24">
        <f>H17*Inputs!$B$25</f>
        <v>0</v>
      </c>
      <c r="J17" s="24">
        <f>G17</f>
        <v>291270</v>
      </c>
      <c r="K17" s="60"/>
      <c r="L17" s="60" t="s">
        <v>274</v>
      </c>
      <c r="M17" s="24">
        <f>IF(AND(A17&gt;=Inputs!$B$9,A17&lt;Inputs!$B$9+Inputs!$B$8),1,0)</f>
        <v>1</v>
      </c>
      <c r="N17" s="24">
        <f>IF(AND(M17=1,Inputs!$B$24&gt;0),1,0)</f>
        <v>0</v>
      </c>
    </row>
    <row r="18" spans="1:14" ht="15" customHeight="1">
      <c r="A18" s="60">
        <v>2039</v>
      </c>
      <c r="B18" s="2">
        <f>Inputs!B7</f>
        <v>100</v>
      </c>
      <c r="C18" s="6">
        <f>Inputs!B10</f>
        <v>0.35</v>
      </c>
      <c r="D18" s="24">
        <f>IF(OR(MOD(A18,400)=0,AND(MOD(A18,4)=0,MOD(A18,100)&lt;&gt;0)),8784,8760)</f>
        <v>8760</v>
      </c>
      <c r="E18" s="24">
        <f>B18*C18*D18*M18</f>
        <v>306600</v>
      </c>
      <c r="F18" s="24">
        <f>E18*Inputs!B11</f>
        <v>15330</v>
      </c>
      <c r="G18" s="24">
        <f>E18-F18</f>
        <v>291270</v>
      </c>
      <c r="H18" s="24">
        <f>Inputs!$B$26*Inputs!$B$24*N18</f>
        <v>0</v>
      </c>
      <c r="I18" s="24">
        <f>H18*Inputs!$B$25</f>
        <v>0</v>
      </c>
      <c r="J18" s="24">
        <f>G18</f>
        <v>291270</v>
      </c>
      <c r="K18" s="60"/>
      <c r="L18" s="60" t="s">
        <v>274</v>
      </c>
      <c r="M18" s="24">
        <f>IF(AND(A18&gt;=Inputs!$B$9,A18&lt;Inputs!$B$9+Inputs!$B$8),1,0)</f>
        <v>1</v>
      </c>
      <c r="N18" s="24">
        <f>IF(AND(M18=1,Inputs!$B$24&gt;0),1,0)</f>
        <v>0</v>
      </c>
    </row>
    <row r="19" spans="1:14" ht="15" customHeight="1">
      <c r="A19" s="60">
        <v>2040</v>
      </c>
      <c r="B19" s="2">
        <f>Inputs!B7</f>
        <v>100</v>
      </c>
      <c r="C19" s="6">
        <f>Inputs!B10</f>
        <v>0.35</v>
      </c>
      <c r="D19" s="24">
        <f>IF(OR(MOD(A19,400)=0,AND(MOD(A19,4)=0,MOD(A19,100)&lt;&gt;0)),8784,8760)</f>
        <v>8784</v>
      </c>
      <c r="E19" s="24">
        <f>B19*C19*D19*M19</f>
        <v>307440</v>
      </c>
      <c r="F19" s="24">
        <f>E19*Inputs!B11</f>
        <v>15372</v>
      </c>
      <c r="G19" s="24">
        <f>E19-F19</f>
        <v>292068</v>
      </c>
      <c r="H19" s="24">
        <f>Inputs!$B$26*Inputs!$B$24*N19</f>
        <v>0</v>
      </c>
      <c r="I19" s="24">
        <f>H19*Inputs!$B$25</f>
        <v>0</v>
      </c>
      <c r="J19" s="24">
        <f>G19</f>
        <v>292068</v>
      </c>
      <c r="K19" s="60"/>
      <c r="L19" s="60" t="s">
        <v>274</v>
      </c>
      <c r="M19" s="24">
        <f>IF(AND(A19&gt;=Inputs!$B$9,A19&lt;Inputs!$B$9+Inputs!$B$8),1,0)</f>
        <v>1</v>
      </c>
      <c r="N19" s="24">
        <f>IF(AND(M19=1,Inputs!$B$24&gt;0),1,0)</f>
        <v>0</v>
      </c>
    </row>
    <row r="20" spans="1:14" ht="15" customHeight="1">
      <c r="A20" s="60">
        <v>2041</v>
      </c>
      <c r="B20" s="2">
        <f>Inputs!B7</f>
        <v>100</v>
      </c>
      <c r="C20" s="6">
        <f>Inputs!B10</f>
        <v>0.35</v>
      </c>
      <c r="D20" s="24">
        <f>IF(OR(MOD(A20,400)=0,AND(MOD(A20,4)=0,MOD(A20,100)&lt;&gt;0)),8784,8760)</f>
        <v>8760</v>
      </c>
      <c r="E20" s="24">
        <f>B20*C20*D20*M20</f>
        <v>306600</v>
      </c>
      <c r="F20" s="24">
        <f>E20*Inputs!B11</f>
        <v>15330</v>
      </c>
      <c r="G20" s="24">
        <f>E20-F20</f>
        <v>291270</v>
      </c>
      <c r="H20" s="24">
        <f>Inputs!$B$26*Inputs!$B$24*N20</f>
        <v>0</v>
      </c>
      <c r="I20" s="24">
        <f>H20*Inputs!$B$25</f>
        <v>0</v>
      </c>
      <c r="J20" s="24">
        <f>G20</f>
        <v>291270</v>
      </c>
      <c r="K20" s="60"/>
      <c r="L20" s="60" t="s">
        <v>274</v>
      </c>
      <c r="M20" s="24">
        <f>IF(AND(A20&gt;=Inputs!$B$9,A20&lt;Inputs!$B$9+Inputs!$B$8),1,0)</f>
        <v>1</v>
      </c>
      <c r="N20" s="24">
        <f>IF(AND(M20=1,Inputs!$B$24&gt;0),1,0)</f>
        <v>0</v>
      </c>
    </row>
    <row r="21" spans="1:14" ht="15" customHeight="1">
      <c r="A21" s="60">
        <v>2042</v>
      </c>
      <c r="B21" s="2">
        <f>Inputs!B7</f>
        <v>100</v>
      </c>
      <c r="C21" s="6">
        <f>Inputs!B10</f>
        <v>0.35</v>
      </c>
      <c r="D21" s="24">
        <f>IF(OR(MOD(A21,400)=0,AND(MOD(A21,4)=0,MOD(A21,100)&lt;&gt;0)),8784,8760)</f>
        <v>8760</v>
      </c>
      <c r="E21" s="24">
        <f>B21*C21*D21*M21</f>
        <v>306600</v>
      </c>
      <c r="F21" s="24">
        <f>E21*Inputs!B11</f>
        <v>15330</v>
      </c>
      <c r="G21" s="24">
        <f>E21-F21</f>
        <v>291270</v>
      </c>
      <c r="H21" s="24">
        <f>Inputs!$B$26*Inputs!$B$24*N21</f>
        <v>0</v>
      </c>
      <c r="I21" s="24">
        <f>H21*Inputs!$B$25</f>
        <v>0</v>
      </c>
      <c r="J21" s="24">
        <f>G21</f>
        <v>291270</v>
      </c>
      <c r="K21" s="60"/>
      <c r="L21" s="60" t="s">
        <v>274</v>
      </c>
      <c r="M21" s="24">
        <f>IF(AND(A21&gt;=Inputs!$B$9,A21&lt;Inputs!$B$9+Inputs!$B$8),1,0)</f>
        <v>1</v>
      </c>
      <c r="N21" s="24">
        <f>IF(AND(M21=1,Inputs!$B$24&gt;0),1,0)</f>
        <v>0</v>
      </c>
    </row>
    <row r="22" spans="1:14" ht="15" customHeight="1">
      <c r="A22" s="60">
        <v>2043</v>
      </c>
      <c r="B22" s="2">
        <f>Inputs!B7</f>
        <v>100</v>
      </c>
      <c r="C22" s="6">
        <f>Inputs!B10</f>
        <v>0.35</v>
      </c>
      <c r="D22" s="24">
        <f>IF(OR(MOD(A22,400)=0,AND(MOD(A22,4)=0,MOD(A22,100)&lt;&gt;0)),8784,8760)</f>
        <v>8760</v>
      </c>
      <c r="E22" s="24">
        <f>B22*C22*D22*M22</f>
        <v>306600</v>
      </c>
      <c r="F22" s="24">
        <f>E22*Inputs!B11</f>
        <v>15330</v>
      </c>
      <c r="G22" s="24">
        <f>E22-F22</f>
        <v>291270</v>
      </c>
      <c r="H22" s="24">
        <f>Inputs!$B$26*Inputs!$B$24*N22</f>
        <v>0</v>
      </c>
      <c r="I22" s="24">
        <f>H22*Inputs!$B$25</f>
        <v>0</v>
      </c>
      <c r="J22" s="24">
        <f>G22</f>
        <v>291270</v>
      </c>
      <c r="K22" s="60"/>
      <c r="L22" s="60" t="s">
        <v>274</v>
      </c>
      <c r="M22" s="24">
        <f>IF(AND(A22&gt;=Inputs!$B$9,A22&lt;Inputs!$B$9+Inputs!$B$8),1,0)</f>
        <v>1</v>
      </c>
      <c r="N22" s="24">
        <f>IF(AND(M22=1,Inputs!$B$24&gt;0),1,0)</f>
        <v>0</v>
      </c>
    </row>
    <row r="23" spans="1:14" ht="15" customHeight="1">
      <c r="A23" s="60">
        <v>2044</v>
      </c>
      <c r="B23" s="2">
        <f>Inputs!B7</f>
        <v>100</v>
      </c>
      <c r="C23" s="6">
        <f>Inputs!B10</f>
        <v>0.35</v>
      </c>
      <c r="D23" s="24">
        <f>IF(OR(MOD(A23,400)=0,AND(MOD(A23,4)=0,MOD(A23,100)&lt;&gt;0)),8784,8760)</f>
        <v>8784</v>
      </c>
      <c r="E23" s="24">
        <f>B23*C23*D23*M23</f>
        <v>307440</v>
      </c>
      <c r="F23" s="24">
        <f>E23*Inputs!B11</f>
        <v>15372</v>
      </c>
      <c r="G23" s="24">
        <f>E23-F23</f>
        <v>292068</v>
      </c>
      <c r="H23" s="24">
        <f>Inputs!$B$26*Inputs!$B$24*N23</f>
        <v>0</v>
      </c>
      <c r="I23" s="24">
        <f>H23*Inputs!$B$25</f>
        <v>0</v>
      </c>
      <c r="J23" s="24">
        <f>G23</f>
        <v>292068</v>
      </c>
      <c r="K23" s="60"/>
      <c r="L23" s="60" t="s">
        <v>274</v>
      </c>
      <c r="M23" s="24">
        <f>IF(AND(A23&gt;=Inputs!$B$9,A23&lt;Inputs!$B$9+Inputs!$B$8),1,0)</f>
        <v>1</v>
      </c>
      <c r="N23" s="24">
        <f>IF(AND(M23=1,Inputs!$B$24&gt;0),1,0)</f>
        <v>0</v>
      </c>
    </row>
    <row r="24" spans="1:14" ht="15" customHeight="1">
      <c r="A24" s="60">
        <v>2045</v>
      </c>
      <c r="B24" s="2">
        <f>Inputs!B7</f>
        <v>100</v>
      </c>
      <c r="C24" s="6">
        <f>Inputs!B10</f>
        <v>0.35</v>
      </c>
      <c r="D24" s="24">
        <f>IF(OR(MOD(A24,400)=0,AND(MOD(A24,4)=0,MOD(A24,100)&lt;&gt;0)),8784,8760)</f>
        <v>8760</v>
      </c>
      <c r="E24" s="24">
        <f>B24*C24*D24*M24</f>
        <v>306600</v>
      </c>
      <c r="F24" s="24">
        <f>E24*Inputs!B11</f>
        <v>15330</v>
      </c>
      <c r="G24" s="24">
        <f>E24-F24</f>
        <v>291270</v>
      </c>
      <c r="H24" s="24">
        <f>Inputs!$B$26*Inputs!$B$24*N24</f>
        <v>0</v>
      </c>
      <c r="I24" s="24">
        <f>H24*Inputs!$B$25</f>
        <v>0</v>
      </c>
      <c r="J24" s="24">
        <f>G24</f>
        <v>291270</v>
      </c>
      <c r="K24" s="60"/>
      <c r="L24" s="60" t="s">
        <v>274</v>
      </c>
      <c r="M24" s="24">
        <f>IF(AND(A24&gt;=Inputs!$B$9,A24&lt;Inputs!$B$9+Inputs!$B$8),1,0)</f>
        <v>1</v>
      </c>
      <c r="N24" s="24">
        <f>IF(AND(M24=1,Inputs!$B$24&gt;0),1,0)</f>
        <v>0</v>
      </c>
    </row>
    <row r="25" spans="1:14" ht="15" customHeight="1">
      <c r="A25" s="60">
        <v>2046</v>
      </c>
      <c r="B25" s="2">
        <f>Inputs!B7</f>
        <v>100</v>
      </c>
      <c r="C25" s="6">
        <f>Inputs!B10</f>
        <v>0.35</v>
      </c>
      <c r="D25" s="24">
        <f>IF(OR(MOD(A25,400)=0,AND(MOD(A25,4)=0,MOD(A25,100)&lt;&gt;0)),8784,8760)</f>
        <v>8760</v>
      </c>
      <c r="E25" s="24">
        <f>B25*C25*D25*M25</f>
        <v>306600</v>
      </c>
      <c r="F25" s="24">
        <f>E25*Inputs!B11</f>
        <v>15330</v>
      </c>
      <c r="G25" s="24">
        <f>E25-F25</f>
        <v>291270</v>
      </c>
      <c r="H25" s="24">
        <f>Inputs!$B$26*Inputs!$B$24*N25</f>
        <v>0</v>
      </c>
      <c r="I25" s="24">
        <f>H25*Inputs!$B$25</f>
        <v>0</v>
      </c>
      <c r="J25" s="24">
        <f>G25</f>
        <v>291270</v>
      </c>
      <c r="K25" s="60"/>
      <c r="L25" s="60" t="s">
        <v>274</v>
      </c>
      <c r="M25" s="24">
        <f>IF(AND(A25&gt;=Inputs!$B$9,A25&lt;Inputs!$B$9+Inputs!$B$8),1,0)</f>
        <v>1</v>
      </c>
      <c r="N25" s="24">
        <f>IF(AND(M25=1,Inputs!$B$24&gt;0),1,0)</f>
        <v>0</v>
      </c>
    </row>
    <row r="26" spans="1:14" ht="15" customHeight="1">
      <c r="A26" s="60">
        <v>2047</v>
      </c>
      <c r="B26" s="2">
        <f>Inputs!B7</f>
        <v>100</v>
      </c>
      <c r="C26" s="6">
        <f>Inputs!B10</f>
        <v>0.35</v>
      </c>
      <c r="D26" s="24">
        <f>IF(OR(MOD(A26,400)=0,AND(MOD(A26,4)=0,MOD(A26,100)&lt;&gt;0)),8784,8760)</f>
        <v>8760</v>
      </c>
      <c r="E26" s="24">
        <f>B26*C26*D26*M26</f>
        <v>306600</v>
      </c>
      <c r="F26" s="24">
        <f>E26*Inputs!B11</f>
        <v>15330</v>
      </c>
      <c r="G26" s="24">
        <f>E26-F26</f>
        <v>291270</v>
      </c>
      <c r="H26" s="24">
        <f>Inputs!$B$26*Inputs!$B$24*N26</f>
        <v>0</v>
      </c>
      <c r="I26" s="24">
        <f>H26*Inputs!$B$25</f>
        <v>0</v>
      </c>
      <c r="J26" s="24">
        <f>G26</f>
        <v>291270</v>
      </c>
      <c r="K26" s="60"/>
      <c r="L26" s="60" t="s">
        <v>274</v>
      </c>
      <c r="M26" s="24">
        <f>IF(AND(A26&gt;=Inputs!$B$9,A26&lt;Inputs!$B$9+Inputs!$B$8),1,0)</f>
        <v>1</v>
      </c>
      <c r="N26" s="24">
        <f>IF(AND(M26=1,Inputs!$B$24&gt;0),1,0)</f>
        <v>0</v>
      </c>
    </row>
    <row r="27" spans="1:14" ht="15" customHeight="1">
      <c r="A27" s="60">
        <v>2048</v>
      </c>
      <c r="B27" s="2">
        <f>Inputs!B7</f>
        <v>100</v>
      </c>
      <c r="C27" s="6">
        <f>Inputs!B10</f>
        <v>0.35</v>
      </c>
      <c r="D27" s="24">
        <f>IF(OR(MOD(A27,400)=0,AND(MOD(A27,4)=0,MOD(A27,100)&lt;&gt;0)),8784,8760)</f>
        <v>8784</v>
      </c>
      <c r="E27" s="24">
        <f>B27*C27*D27*M27</f>
        <v>307440</v>
      </c>
      <c r="F27" s="24">
        <f>E27*Inputs!B11</f>
        <v>15372</v>
      </c>
      <c r="G27" s="24">
        <f>E27-F27</f>
        <v>292068</v>
      </c>
      <c r="H27" s="24">
        <f>Inputs!$B$26*Inputs!$B$24*N27</f>
        <v>0</v>
      </c>
      <c r="I27" s="24">
        <f>H27*Inputs!$B$25</f>
        <v>0</v>
      </c>
      <c r="J27" s="24">
        <f>G27</f>
        <v>292068</v>
      </c>
      <c r="K27" s="60"/>
      <c r="L27" s="60" t="s">
        <v>274</v>
      </c>
      <c r="M27" s="24">
        <f>IF(AND(A27&gt;=Inputs!$B$9,A27&lt;Inputs!$B$9+Inputs!$B$8),1,0)</f>
        <v>1</v>
      </c>
      <c r="N27" s="24">
        <f>IF(AND(M27=1,Inputs!$B$24&gt;0),1,0)</f>
        <v>0</v>
      </c>
    </row>
    <row r="28" spans="1:14" ht="15" customHeight="1">
      <c r="A28" s="60">
        <v>2049</v>
      </c>
      <c r="B28" s="2">
        <f>Inputs!B7</f>
        <v>100</v>
      </c>
      <c r="C28" s="6">
        <f>Inputs!B10</f>
        <v>0.35</v>
      </c>
      <c r="D28" s="24">
        <f>IF(OR(MOD(A28,400)=0,AND(MOD(A28,4)=0,MOD(A28,100)&lt;&gt;0)),8784,8760)</f>
        <v>8760</v>
      </c>
      <c r="E28" s="24">
        <f>B28*C28*D28*M28</f>
        <v>306600</v>
      </c>
      <c r="F28" s="24">
        <f>E28*Inputs!B11</f>
        <v>15330</v>
      </c>
      <c r="G28" s="24">
        <f>E28-F28</f>
        <v>291270</v>
      </c>
      <c r="H28" s="24">
        <f>Inputs!$B$26*Inputs!$B$24*N28</f>
        <v>0</v>
      </c>
      <c r="I28" s="24">
        <f>H28*Inputs!$B$25</f>
        <v>0</v>
      </c>
      <c r="J28" s="24">
        <f>G28</f>
        <v>291270</v>
      </c>
      <c r="K28" s="60"/>
      <c r="L28" s="60" t="s">
        <v>274</v>
      </c>
      <c r="M28" s="24">
        <f>IF(AND(A28&gt;=Inputs!$B$9,A28&lt;Inputs!$B$9+Inputs!$B$8),1,0)</f>
        <v>1</v>
      </c>
      <c r="N28" s="24">
        <f>IF(AND(M28=1,Inputs!$B$24&gt;0),1,0)</f>
        <v>0</v>
      </c>
    </row>
    <row r="29" spans="1:14" ht="15" customHeight="1">
      <c r="A29" s="60">
        <v>2050</v>
      </c>
      <c r="B29" s="2">
        <f>Inputs!B7</f>
        <v>100</v>
      </c>
      <c r="C29" s="6">
        <f>Inputs!B10</f>
        <v>0.35</v>
      </c>
      <c r="D29" s="24">
        <f>IF(OR(MOD(A29,400)=0,AND(MOD(A29,4)=0,MOD(A29,100)&lt;&gt;0)),8784,8760)</f>
        <v>8760</v>
      </c>
      <c r="E29" s="24">
        <f>B29*C29*D29*M29</f>
        <v>306600</v>
      </c>
      <c r="F29" s="24">
        <f>E29*Inputs!B11</f>
        <v>15330</v>
      </c>
      <c r="G29" s="24">
        <f>E29-F29</f>
        <v>291270</v>
      </c>
      <c r="H29" s="24">
        <f>Inputs!$B$26*Inputs!$B$24*N29</f>
        <v>0</v>
      </c>
      <c r="I29" s="24">
        <f>H29*Inputs!$B$25</f>
        <v>0</v>
      </c>
      <c r="J29" s="24">
        <f>G29</f>
        <v>291270</v>
      </c>
      <c r="K29" s="60"/>
      <c r="L29" s="60" t="s">
        <v>274</v>
      </c>
      <c r="M29" s="24">
        <f>IF(AND(A29&gt;=Inputs!$B$9,A29&lt;Inputs!$B$9+Inputs!$B$8),1,0)</f>
        <v>1</v>
      </c>
      <c r="N29" s="24">
        <f>IF(AND(M29=1,Inputs!$B$24&gt;0),1,0)</f>
        <v>0</v>
      </c>
    </row>
    <row r="30" spans="1:14" ht="15" customHeight="1">
      <c r="A30" s="60">
        <v>2051</v>
      </c>
      <c r="B30" s="2">
        <f>Inputs!B7</f>
        <v>100</v>
      </c>
      <c r="C30" s="6">
        <f>Inputs!B10</f>
        <v>0.35</v>
      </c>
      <c r="D30" s="24">
        <f>IF(OR(MOD(A30,400)=0,AND(MOD(A30,4)=0,MOD(A30,100)&lt;&gt;0)),8784,8760)</f>
        <v>8760</v>
      </c>
      <c r="E30" s="24">
        <f>B30*C30*D30*M30</f>
        <v>306600</v>
      </c>
      <c r="F30" s="24">
        <f>E30*Inputs!B11</f>
        <v>15330</v>
      </c>
      <c r="G30" s="24">
        <f>E30-F30</f>
        <v>291270</v>
      </c>
      <c r="H30" s="24">
        <f>Inputs!$B$26*Inputs!$B$24*N30</f>
        <v>0</v>
      </c>
      <c r="I30" s="24">
        <f>H30*Inputs!$B$25</f>
        <v>0</v>
      </c>
      <c r="J30" s="24">
        <f>G30</f>
        <v>291270</v>
      </c>
      <c r="K30" s="60"/>
      <c r="L30" s="60" t="s">
        <v>274</v>
      </c>
      <c r="M30" s="24">
        <f>IF(AND(A30&gt;=Inputs!$B$9,A30&lt;Inputs!$B$9+Inputs!$B$8),1,0)</f>
        <v>1</v>
      </c>
      <c r="N30" s="24">
        <f>IF(AND(M30=1,Inputs!$B$24&gt;0),1,0)</f>
        <v>0</v>
      </c>
    </row>
    <row r="31" spans="1:14" ht="15" customHeight="1">
      <c r="A31" s="60">
        <v>2052</v>
      </c>
      <c r="B31" s="2">
        <f>Inputs!B7</f>
        <v>100</v>
      </c>
      <c r="C31" s="6">
        <f>Inputs!B10</f>
        <v>0.35</v>
      </c>
      <c r="D31" s="24">
        <f>IF(OR(MOD(A31,400)=0,AND(MOD(A31,4)=0,MOD(A31,100)&lt;&gt;0)),8784,8760)</f>
        <v>8784</v>
      </c>
      <c r="E31" s="24">
        <f>B31*C31*D31*M31</f>
        <v>307440</v>
      </c>
      <c r="F31" s="24">
        <f>E31*Inputs!B11</f>
        <v>15372</v>
      </c>
      <c r="G31" s="24">
        <f>E31-F31</f>
        <v>292068</v>
      </c>
      <c r="H31" s="24">
        <f>Inputs!$B$26*Inputs!$B$24*N31</f>
        <v>0</v>
      </c>
      <c r="I31" s="24">
        <f>H31*Inputs!$B$25</f>
        <v>0</v>
      </c>
      <c r="J31" s="24">
        <f>G31</f>
        <v>292068</v>
      </c>
      <c r="K31" s="60"/>
      <c r="L31" s="60" t="s">
        <v>274</v>
      </c>
      <c r="M31" s="24">
        <f>IF(AND(A31&gt;=Inputs!$B$9,A31&lt;Inputs!$B$9+Inputs!$B$8),1,0)</f>
        <v>1</v>
      </c>
      <c r="N31" s="24">
        <f>IF(AND(M31=1,Inputs!$B$24&gt;0),1,0)</f>
        <v>0</v>
      </c>
    </row>
    <row r="32" spans="1:14" ht="15" customHeight="1">
      <c r="A32" s="60">
        <v>2053</v>
      </c>
      <c r="B32" s="2">
        <f>Inputs!B7</f>
        <v>100</v>
      </c>
      <c r="C32" s="6">
        <f>Inputs!B10</f>
        <v>0.35</v>
      </c>
      <c r="D32" s="24">
        <f>IF(OR(MOD(A32,400)=0,AND(MOD(A32,4)=0,MOD(A32,100)&lt;&gt;0)),8784,8760)</f>
        <v>8760</v>
      </c>
      <c r="E32" s="24">
        <f>B32*C32*D32*M32</f>
        <v>0</v>
      </c>
      <c r="F32" s="24">
        <f>E32*Inputs!B11</f>
        <v>0</v>
      </c>
      <c r="G32" s="24">
        <f>E32-F32</f>
        <v>0</v>
      </c>
      <c r="H32" s="24">
        <f>Inputs!$B$26*Inputs!$B$24*N32</f>
        <v>0</v>
      </c>
      <c r="I32" s="24">
        <f>H32*Inputs!$B$25</f>
        <v>0</v>
      </c>
      <c r="J32" s="24">
        <f>G32</f>
        <v>0</v>
      </c>
      <c r="K32" s="60"/>
      <c r="L32" s="60" t="s">
        <v>274</v>
      </c>
      <c r="M32" s="24">
        <f>IF(AND(A32&gt;=Inputs!$B$9,A32&lt;Inputs!$B$9+Inputs!$B$8),1,0)</f>
        <v>0</v>
      </c>
      <c r="N32" s="24">
        <f>IF(AND(M32=1,Inputs!$B$24&gt;0),1,0)</f>
        <v>0</v>
      </c>
    </row>
    <row r="33" spans="1:14" ht="15" customHeight="1">
      <c r="A33" s="60">
        <v>2054</v>
      </c>
      <c r="B33" s="2">
        <f>Inputs!B7</f>
        <v>100</v>
      </c>
      <c r="C33" s="6">
        <f>Inputs!B10</f>
        <v>0.35</v>
      </c>
      <c r="D33" s="24">
        <f>IF(OR(MOD(A33,400)=0,AND(MOD(A33,4)=0,MOD(A33,100)&lt;&gt;0)),8784,8760)</f>
        <v>8760</v>
      </c>
      <c r="E33" s="24">
        <f>B33*C33*D33*M33</f>
        <v>0</v>
      </c>
      <c r="F33" s="24">
        <f>E33*Inputs!B11</f>
        <v>0</v>
      </c>
      <c r="G33" s="24">
        <f>E33-F33</f>
        <v>0</v>
      </c>
      <c r="H33" s="24">
        <f>Inputs!$B$26*Inputs!$B$24*N33</f>
        <v>0</v>
      </c>
      <c r="I33" s="24">
        <f>H33*Inputs!$B$25</f>
        <v>0</v>
      </c>
      <c r="J33" s="24">
        <f>G33</f>
        <v>0</v>
      </c>
      <c r="K33" s="60"/>
      <c r="L33" s="60" t="s">
        <v>274</v>
      </c>
      <c r="M33" s="24">
        <f>IF(AND(A33&gt;=Inputs!$B$9,A33&lt;Inputs!$B$9+Inputs!$B$8),1,0)</f>
        <v>0</v>
      </c>
      <c r="N33" s="24">
        <f>IF(AND(M33=1,Inputs!$B$24&gt;0),1,0)</f>
        <v>0</v>
      </c>
    </row>
    <row r="34" spans="1:14" ht="15" customHeight="1">
      <c r="A34" s="60">
        <v>2055</v>
      </c>
      <c r="B34" s="2">
        <f>Inputs!B7</f>
        <v>100</v>
      </c>
      <c r="C34" s="6">
        <f>Inputs!B10</f>
        <v>0.35</v>
      </c>
      <c r="D34" s="24">
        <f>IF(OR(MOD(A34,400)=0,AND(MOD(A34,4)=0,MOD(A34,100)&lt;&gt;0)),8784,8760)</f>
        <v>8760</v>
      </c>
      <c r="E34" s="24">
        <f>B34*C34*D34*M34</f>
        <v>0</v>
      </c>
      <c r="F34" s="24">
        <f>E34*Inputs!B11</f>
        <v>0</v>
      </c>
      <c r="G34" s="24">
        <f>E34-F34</f>
        <v>0</v>
      </c>
      <c r="H34" s="24">
        <f>Inputs!$B$26*Inputs!$B$24*N34</f>
        <v>0</v>
      </c>
      <c r="I34" s="24">
        <f>H34*Inputs!$B$25</f>
        <v>0</v>
      </c>
      <c r="J34" s="24">
        <f>G34</f>
        <v>0</v>
      </c>
      <c r="K34" s="60"/>
      <c r="L34" s="60" t="s">
        <v>274</v>
      </c>
      <c r="M34" s="24">
        <f>IF(AND(A34&gt;=Inputs!$B$9,A34&lt;Inputs!$B$9+Inputs!$B$8),1,0)</f>
        <v>0</v>
      </c>
      <c r="N34" s="24">
        <f>IF(AND(M34=1,Inputs!$B$24&gt;0),1,0)</f>
        <v>0</v>
      </c>
    </row>
    <row r="35" spans="1:14" ht="15" customHeight="1">
      <c r="A35" s="60">
        <v>2056</v>
      </c>
      <c r="B35" s="2">
        <f>Inputs!B7</f>
        <v>100</v>
      </c>
      <c r="C35" s="6">
        <f>Inputs!B10</f>
        <v>0.35</v>
      </c>
      <c r="D35" s="24">
        <f>IF(OR(MOD(A35,400)=0,AND(MOD(A35,4)=0,MOD(A35,100)&lt;&gt;0)),8784,8760)</f>
        <v>8784</v>
      </c>
      <c r="E35" s="24">
        <f>B35*C35*D35*M35</f>
        <v>0</v>
      </c>
      <c r="F35" s="24">
        <f>E35*Inputs!B11</f>
        <v>0</v>
      </c>
      <c r="G35" s="24">
        <f>E35-F35</f>
        <v>0</v>
      </c>
      <c r="H35" s="24">
        <f>Inputs!$B$26*Inputs!$B$24*N35</f>
        <v>0</v>
      </c>
      <c r="I35" s="24">
        <f>H35*Inputs!$B$25</f>
        <v>0</v>
      </c>
      <c r="J35" s="24">
        <f>G35</f>
        <v>0</v>
      </c>
      <c r="K35" s="60"/>
      <c r="L35" s="60" t="s">
        <v>274</v>
      </c>
      <c r="M35" s="24">
        <f>IF(AND(A35&gt;=Inputs!$B$9,A35&lt;Inputs!$B$9+Inputs!$B$8),1,0)</f>
        <v>0</v>
      </c>
      <c r="N35" s="24">
        <f>IF(AND(M35=1,Inputs!$B$24&gt;0),1,0)</f>
        <v>0</v>
      </c>
    </row>
    <row r="36" spans="1:14" ht="15" customHeight="1">
      <c r="A36" s="60">
        <v>2057</v>
      </c>
      <c r="B36" s="2">
        <f>Inputs!$B$7</f>
        <v>100</v>
      </c>
      <c r="C36" s="6">
        <f>Inputs!$B$10</f>
        <v>0.35</v>
      </c>
      <c r="D36" s="24">
        <f>IF(OR(MOD(A36,400)=0,AND(MOD(A36,4)=0,MOD(A36,100)&lt;&gt;0)),8784,8760)</f>
        <v>8760</v>
      </c>
      <c r="E36" s="24">
        <f>B36*C36*D36*M36</f>
        <v>0</v>
      </c>
      <c r="F36" s="24">
        <f>E36*Inputs!$B$11</f>
        <v>0</v>
      </c>
      <c r="G36" s="24">
        <f>E36-F36</f>
        <v>0</v>
      </c>
      <c r="H36" s="24">
        <f>Inputs!$B$26*Inputs!$B$24*N36</f>
        <v>0</v>
      </c>
      <c r="I36" s="24">
        <f>H36*Inputs!$B$25</f>
        <v>0</v>
      </c>
      <c r="J36" s="24">
        <f>G36</f>
        <v>0</v>
      </c>
      <c r="K36" s="60"/>
      <c r="L36" s="60" t="s">
        <v>274</v>
      </c>
      <c r="M36" s="24">
        <f>IF(AND(A36&gt;=Inputs!$B$9,A36&lt;Inputs!$B$9+Inputs!$B$8),1,0)</f>
        <v>0</v>
      </c>
      <c r="N36" s="24">
        <f>IF(AND(M36=1,Inputs!$B$24&gt;0),1,0)</f>
        <v>0</v>
      </c>
    </row>
    <row r="37" spans="1:14" ht="377.25" customHeight="1">
      <c r="A37" s="60">
        <v>2058</v>
      </c>
      <c r="B37" s="2">
        <f>Inputs!$B$7</f>
        <v>100</v>
      </c>
      <c r="C37" s="6">
        <f>Inputs!$B$10</f>
        <v>0.35</v>
      </c>
      <c r="D37" s="24">
        <f>IF(OR(MOD(A37,400)=0,AND(MOD(A37,4)=0,MOD(A37,100)&lt;&gt;0)),8784,8760)</f>
        <v>8760</v>
      </c>
      <c r="E37" s="24">
        <f>B37*C37*D37*M37</f>
        <v>0</v>
      </c>
      <c r="F37" s="24">
        <f>E37*Inputs!$B$11</f>
        <v>0</v>
      </c>
      <c r="G37" s="24">
        <f>E37-F37</f>
        <v>0</v>
      </c>
      <c r="H37" s="24">
        <f>Inputs!$B$26*Inputs!$B$24*N37</f>
        <v>0</v>
      </c>
      <c r="I37" s="24">
        <f>H37*Inputs!$B$25</f>
        <v>0</v>
      </c>
      <c r="J37" s="24">
        <f>G37</f>
        <v>0</v>
      </c>
      <c r="K37" s="60"/>
      <c r="L37" s="60" t="s">
        <v>274</v>
      </c>
      <c r="M37" s="24">
        <f>IF(AND(A37&gt;=Inputs!$B$9,A37&lt;Inputs!$B$9+Inputs!$B$8),1,0)</f>
        <v>0</v>
      </c>
      <c r="N37" s="24">
        <f>IF(AND(M37=1,Inputs!$B$24&gt;0),1,0)</f>
        <v>0</v>
      </c>
    </row>
    <row r="39" spans="1:14" ht="377.25" customHeight="1">
      <c r="A39" s="23" t="s">
        <v>275</v>
      </c>
    </row>
  </sheetData>
  <mergeCells count="2">
    <mergeCell ref="A1:L1"/>
    <mergeCell ref="A3:L3"/>
  </mergeCells>
  <pageMargins left="0.75" right="0.75" top="1" bottom="1" header="0.511811023622047" footer="0.5"/>
  <pageSetup fitToHeight="0" orientation="portrait" horizontalDpi="300" verticalDpi="300"/>
  <headerFooter>
    <oddFooter>&amp;CFinnish Onshore Wind Project Finance Model&amp;RPage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7365D"/>
    <pageSetUpPr fitToPage="1"/>
  </sheetPr>
  <dimension ref="A1:L37"/>
  <sheetViews>
    <sheetView showGridLines="0" tabSelected="1" zoomScaleNormal="100" workbookViewId="0">
      <pane ySplit="4" topLeftCell="A5" activePane="bottomLeft" state="frozen"/>
      <selection pane="bottomLeft" activeCell="B11" sqref="B11"/>
    </sheetView>
  </sheetViews>
  <sheetFormatPr defaultColWidth="8.7109375" defaultRowHeight="15"/>
  <cols>
    <col min="1" max="1" width="12" style="1" customWidth="1"/>
    <col min="2" max="7" width="16" style="1" customWidth="1"/>
    <col min="8" max="8" width="22" style="1" customWidth="1"/>
    <col min="9" max="9" width="16" style="1" customWidth="1"/>
    <col min="10" max="12" width="18" style="1" customWidth="1"/>
  </cols>
  <sheetData>
    <row r="1" spans="1:12" ht="27.75" customHeight="1">
      <c r="A1" s="63" t="s">
        <v>276</v>
      </c>
      <c r="B1" s="63"/>
      <c r="C1" s="63"/>
      <c r="D1" s="63"/>
      <c r="E1" s="63"/>
      <c r="F1" s="63"/>
      <c r="G1" s="63"/>
      <c r="H1" s="63"/>
      <c r="I1" s="63"/>
      <c r="J1" s="63"/>
      <c r="K1" s="63"/>
      <c r="L1" s="63"/>
    </row>
    <row r="3" spans="1:12" ht="19.5" customHeight="1">
      <c r="A3" s="64" t="s">
        <v>277</v>
      </c>
      <c r="B3" s="64"/>
      <c r="C3" s="64"/>
      <c r="D3" s="64"/>
      <c r="E3" s="64"/>
      <c r="F3" s="64"/>
      <c r="G3" s="64"/>
      <c r="H3" s="64"/>
      <c r="I3" s="64"/>
      <c r="J3" s="64"/>
      <c r="K3" s="64"/>
      <c r="L3" s="64"/>
    </row>
    <row r="4" spans="1:12" ht="27.75" customHeight="1">
      <c r="A4" s="62" t="s">
        <v>238</v>
      </c>
      <c r="B4" s="62" t="s">
        <v>278</v>
      </c>
      <c r="C4" s="62" t="s">
        <v>279</v>
      </c>
      <c r="D4" s="62" t="s">
        <v>280</v>
      </c>
      <c r="E4" s="62" t="s">
        <v>281</v>
      </c>
      <c r="F4" s="62" t="s">
        <v>282</v>
      </c>
      <c r="G4" s="62" t="s">
        <v>283</v>
      </c>
      <c r="H4" s="62" t="s">
        <v>284</v>
      </c>
      <c r="I4" s="62" t="s">
        <v>94</v>
      </c>
      <c r="J4" s="62" t="s">
        <v>285</v>
      </c>
      <c r="K4" s="62" t="s">
        <v>286</v>
      </c>
      <c r="L4" s="62" t="s">
        <v>6</v>
      </c>
    </row>
    <row r="5" spans="1:12" ht="15" customHeight="1">
      <c r="A5" s="60">
        <v>2026</v>
      </c>
      <c r="B5" s="24">
        <f>Production!J5</f>
        <v>0</v>
      </c>
      <c r="C5" s="19">
        <f>Prices!I8</f>
        <v>33.467999999999996</v>
      </c>
      <c r="D5" s="25">
        <f>B5*C5</f>
        <v>0</v>
      </c>
      <c r="E5" s="26">
        <f>(Production!I5*Inputs!$B$48+Inputs!$B$47*Inputs!$B$49*Production!N5)*Prices!L8</f>
        <v>0</v>
      </c>
      <c r="F5" s="26">
        <v>0</v>
      </c>
      <c r="G5" s="25">
        <f>SUM(D5:F5)</f>
        <v>0</v>
      </c>
      <c r="H5" s="26">
        <f>(Inputs!$B$19*Inputs!$B$7*Production!M5+Inputs!$B$50*Inputs!$B$47*Production!N5)*Prices!L8</f>
        <v>0</v>
      </c>
      <c r="I5" s="26">
        <f>Inputs!$B$20*B5*Prices!L8</f>
        <v>0</v>
      </c>
      <c r="J5" s="26">
        <f>Inputs!$B$21*Inputs!$B$7*Production!M5*Prices!L8</f>
        <v>0</v>
      </c>
      <c r="K5" s="25">
        <f>G5-SUM(H5:J5)</f>
        <v>0</v>
      </c>
      <c r="L5" s="60" t="s">
        <v>274</v>
      </c>
    </row>
    <row r="6" spans="1:12" ht="15" customHeight="1">
      <c r="A6" s="60">
        <v>2027</v>
      </c>
      <c r="B6" s="24">
        <f>Production!J6</f>
        <v>0</v>
      </c>
      <c r="C6" s="19">
        <f>Prices!I9</f>
        <v>33.54372</v>
      </c>
      <c r="D6" s="25">
        <f>B6*C6</f>
        <v>0</v>
      </c>
      <c r="E6" s="26">
        <f>(Production!I6*Inputs!$B$48+Inputs!$B$47*Inputs!$B$49*Production!N6)*Prices!L9</f>
        <v>0</v>
      </c>
      <c r="F6" s="26">
        <v>0</v>
      </c>
      <c r="G6" s="25">
        <f>SUM(D6:F6)</f>
        <v>0</v>
      </c>
      <c r="H6" s="26">
        <f>(Inputs!$B$19*Inputs!$B$7*Production!M6+Inputs!$B$50*Inputs!$B$47*Production!N6)*Prices!L9</f>
        <v>0</v>
      </c>
      <c r="I6" s="26">
        <f>Inputs!$B$20*B6*Prices!L9</f>
        <v>0</v>
      </c>
      <c r="J6" s="26">
        <f>Inputs!$B$21*Inputs!$B$7*Production!M6*Prices!L9</f>
        <v>0</v>
      </c>
      <c r="K6" s="25">
        <f>G6-SUM(H6:J6)</f>
        <v>0</v>
      </c>
      <c r="L6" s="60" t="s">
        <v>274</v>
      </c>
    </row>
    <row r="7" spans="1:12" ht="15" customHeight="1">
      <c r="A7" s="60">
        <v>2028</v>
      </c>
      <c r="B7" s="24">
        <f>Production!J7</f>
        <v>292068</v>
      </c>
      <c r="C7" s="19">
        <f>Prices!I10</f>
        <v>50</v>
      </c>
      <c r="D7" s="25">
        <f>B7*C7</f>
        <v>14603400</v>
      </c>
      <c r="E7" s="26">
        <f>(Production!I7*Inputs!$B$48+Inputs!$B$47*Inputs!$B$49*Production!N7)*Prices!L10</f>
        <v>0</v>
      </c>
      <c r="F7" s="26">
        <v>0</v>
      </c>
      <c r="G7" s="25">
        <f>SUM(D7:F7)</f>
        <v>14603400</v>
      </c>
      <c r="H7" s="26">
        <f>(Inputs!$B$19*Inputs!$B$7*Production!M7+Inputs!$B$50*Inputs!$B$47*Production!N7)*Prices!L10</f>
        <v>4057560</v>
      </c>
      <c r="I7" s="26">
        <f>Inputs!$B$20*B7*Prices!L10</f>
        <v>0</v>
      </c>
      <c r="J7" s="26">
        <f>Inputs!$B$21*Inputs!$B$7*Production!M7*Prices!L10</f>
        <v>520200</v>
      </c>
      <c r="K7" s="25">
        <f>G7-SUM(H7:J7)</f>
        <v>10025640</v>
      </c>
      <c r="L7" s="60" t="s">
        <v>274</v>
      </c>
    </row>
    <row r="8" spans="1:12" ht="15" customHeight="1">
      <c r="A8" s="60">
        <v>2029</v>
      </c>
      <c r="B8" s="24">
        <f>Production!J8</f>
        <v>291270</v>
      </c>
      <c r="C8" s="19">
        <f>Prices!I11</f>
        <v>50</v>
      </c>
      <c r="D8" s="25">
        <f>B8*C8</f>
        <v>14563500</v>
      </c>
      <c r="E8" s="26">
        <f>(Production!I8*Inputs!$B$48+Inputs!$B$47*Inputs!$B$49*Production!N8)*Prices!L11</f>
        <v>0</v>
      </c>
      <c r="F8" s="26">
        <v>0</v>
      </c>
      <c r="G8" s="25">
        <f>SUM(D8:F8)</f>
        <v>14563500</v>
      </c>
      <c r="H8" s="26">
        <f>(Inputs!$B$19*Inputs!$B$7*Production!M8+Inputs!$B$50*Inputs!$B$47*Production!N8)*Prices!L11</f>
        <v>4138711.1999999997</v>
      </c>
      <c r="I8" s="26">
        <f>Inputs!$B$20*B8*Prices!L11</f>
        <v>0</v>
      </c>
      <c r="J8" s="26">
        <f>Inputs!$B$21*Inputs!$B$7*Production!M8*Prices!L11</f>
        <v>530604</v>
      </c>
      <c r="K8" s="25">
        <f>G8-SUM(H8:J8)</f>
        <v>9894184.8000000007</v>
      </c>
      <c r="L8" s="60" t="s">
        <v>274</v>
      </c>
    </row>
    <row r="9" spans="1:12" ht="15" customHeight="1">
      <c r="A9" s="60">
        <v>2030</v>
      </c>
      <c r="B9" s="24">
        <f>Production!J9</f>
        <v>291270</v>
      </c>
      <c r="C9" s="19">
        <f>Prices!I12</f>
        <v>50</v>
      </c>
      <c r="D9" s="25">
        <f>B9*C9</f>
        <v>14563500</v>
      </c>
      <c r="E9" s="26">
        <f>(Production!I9*Inputs!$B$48+Inputs!$B$47*Inputs!$B$49*Production!N9)*Prices!L12</f>
        <v>0</v>
      </c>
      <c r="F9" s="26">
        <v>0</v>
      </c>
      <c r="G9" s="25">
        <f>SUM(D9:F9)</f>
        <v>14563500</v>
      </c>
      <c r="H9" s="26">
        <f>(Inputs!$B$19*Inputs!$B$7*Production!M9+Inputs!$B$50*Inputs!$B$47*Production!N9)*Prices!L12</f>
        <v>4221485.4239999996</v>
      </c>
      <c r="I9" s="26">
        <f>Inputs!$B$20*B9*Prices!L12</f>
        <v>0</v>
      </c>
      <c r="J9" s="26">
        <f>Inputs!$B$21*Inputs!$B$7*Production!M9*Prices!L12</f>
        <v>541216.07999999996</v>
      </c>
      <c r="K9" s="25">
        <f>G9-SUM(H9:J9)</f>
        <v>9800798.4959999993</v>
      </c>
      <c r="L9" s="60" t="s">
        <v>274</v>
      </c>
    </row>
    <row r="10" spans="1:12" ht="15" customHeight="1">
      <c r="A10" s="60">
        <v>2031</v>
      </c>
      <c r="B10" s="24">
        <f>Production!J10</f>
        <v>291270</v>
      </c>
      <c r="C10" s="19">
        <f>Prices!I13</f>
        <v>50</v>
      </c>
      <c r="D10" s="25">
        <f>B10*C10</f>
        <v>14563500</v>
      </c>
      <c r="E10" s="26">
        <f>(Production!I10*Inputs!$B$48+Inputs!$B$47*Inputs!$B$49*Production!N10)*Prices!L13</f>
        <v>0</v>
      </c>
      <c r="F10" s="26">
        <v>0</v>
      </c>
      <c r="G10" s="25">
        <f>SUM(D10:F10)</f>
        <v>14563500</v>
      </c>
      <c r="H10" s="26">
        <f>(Inputs!$B$19*Inputs!$B$7*Production!M10+Inputs!$B$50*Inputs!$B$47*Production!N10)*Prices!L13</f>
        <v>4305915.1324800001</v>
      </c>
      <c r="I10" s="26">
        <f>Inputs!$B$20*B10*Prices!L13</f>
        <v>0</v>
      </c>
      <c r="J10" s="26">
        <f>Inputs!$B$21*Inputs!$B$7*Production!M10*Prices!L13</f>
        <v>552040.40159999998</v>
      </c>
      <c r="K10" s="25">
        <f>G10-SUM(H10:J10)</f>
        <v>9705544.4659199994</v>
      </c>
      <c r="L10" s="60" t="s">
        <v>274</v>
      </c>
    </row>
    <row r="11" spans="1:12" ht="15" customHeight="1">
      <c r="A11" s="60">
        <v>2032</v>
      </c>
      <c r="B11" s="24">
        <f>Production!J11</f>
        <v>292068</v>
      </c>
      <c r="C11" s="19">
        <f>Prices!I14</f>
        <v>50</v>
      </c>
      <c r="D11" s="25">
        <f>B11*C11</f>
        <v>14603400</v>
      </c>
      <c r="E11" s="26">
        <f>(Production!I11*Inputs!$B$48+Inputs!$B$47*Inputs!$B$49*Production!N11)*Prices!L14</f>
        <v>0</v>
      </c>
      <c r="F11" s="26">
        <v>0</v>
      </c>
      <c r="G11" s="25">
        <f>SUM(D11:F11)</f>
        <v>14603400</v>
      </c>
      <c r="H11" s="26">
        <f>(Inputs!$B$19*Inputs!$B$7*Production!M11+Inputs!$B$50*Inputs!$B$47*Production!N11)*Prices!L14</f>
        <v>4392033.4351296006</v>
      </c>
      <c r="I11" s="26">
        <f>Inputs!$B$20*B11*Prices!L14</f>
        <v>0</v>
      </c>
      <c r="J11" s="26">
        <f>Inputs!$B$21*Inputs!$B$7*Production!M11*Prices!L14</f>
        <v>563081.20963200007</v>
      </c>
      <c r="K11" s="25">
        <f>G11-SUM(H11:J11)</f>
        <v>9648285.3552384004</v>
      </c>
      <c r="L11" s="60" t="s">
        <v>274</v>
      </c>
    </row>
    <row r="12" spans="1:12" ht="15" customHeight="1">
      <c r="A12" s="60">
        <v>2033</v>
      </c>
      <c r="B12" s="24">
        <f>Production!J12</f>
        <v>291270</v>
      </c>
      <c r="C12" s="19">
        <f>Prices!I15</f>
        <v>50</v>
      </c>
      <c r="D12" s="25">
        <f>B12*C12</f>
        <v>14563500</v>
      </c>
      <c r="E12" s="26">
        <f>(Production!I12*Inputs!$B$48+Inputs!$B$47*Inputs!$B$49*Production!N12)*Prices!L15</f>
        <v>0</v>
      </c>
      <c r="F12" s="26">
        <v>0</v>
      </c>
      <c r="G12" s="25">
        <f>SUM(D12:F12)</f>
        <v>14563500</v>
      </c>
      <c r="H12" s="26">
        <f>(Inputs!$B$19*Inputs!$B$7*Production!M12+Inputs!$B$50*Inputs!$B$47*Production!N12)*Prices!L15</f>
        <v>4479874.1038321909</v>
      </c>
      <c r="I12" s="26">
        <f>Inputs!$B$20*B12*Prices!L15</f>
        <v>0</v>
      </c>
      <c r="J12" s="26">
        <f>Inputs!$B$21*Inputs!$B$7*Production!M12*Prices!L15</f>
        <v>574342.83382463991</v>
      </c>
      <c r="K12" s="25">
        <f>G12-SUM(H12:J12)</f>
        <v>9509283.062343169</v>
      </c>
      <c r="L12" s="60" t="s">
        <v>274</v>
      </c>
    </row>
    <row r="13" spans="1:12" ht="15" customHeight="1">
      <c r="A13" s="60">
        <v>2034</v>
      </c>
      <c r="B13" s="24">
        <f>Production!J13</f>
        <v>291270</v>
      </c>
      <c r="C13" s="19">
        <f>Prices!I16</f>
        <v>50</v>
      </c>
      <c r="D13" s="25">
        <f>B13*C13</f>
        <v>14563500</v>
      </c>
      <c r="E13" s="26">
        <f>(Production!I13*Inputs!$B$48+Inputs!$B$47*Inputs!$B$49*Production!N13)*Prices!L16</f>
        <v>0</v>
      </c>
      <c r="F13" s="26">
        <v>0</v>
      </c>
      <c r="G13" s="25">
        <f>SUM(D13:F13)</f>
        <v>14563500</v>
      </c>
      <c r="H13" s="26">
        <f>(Inputs!$B$19*Inputs!$B$7*Production!M13+Inputs!$B$50*Inputs!$B$47*Production!N13)*Prices!L16</f>
        <v>4569471.5859088358</v>
      </c>
      <c r="I13" s="26">
        <f>Inputs!$B$20*B13*Prices!L16</f>
        <v>0</v>
      </c>
      <c r="J13" s="26">
        <f>Inputs!$B$21*Inputs!$B$7*Production!M13*Prices!L16</f>
        <v>585829.69050113275</v>
      </c>
      <c r="K13" s="25">
        <f>G13-SUM(H13:J13)</f>
        <v>9408198.7235900313</v>
      </c>
      <c r="L13" s="60" t="s">
        <v>274</v>
      </c>
    </row>
    <row r="14" spans="1:12" ht="15" customHeight="1">
      <c r="A14" s="60">
        <v>2035</v>
      </c>
      <c r="B14" s="24">
        <f>Production!J14</f>
        <v>291270</v>
      </c>
      <c r="C14" s="19">
        <f>Prices!I17</f>
        <v>50</v>
      </c>
      <c r="D14" s="25">
        <f>B14*C14</f>
        <v>14563500</v>
      </c>
      <c r="E14" s="26">
        <f>(Production!I14*Inputs!$B$48+Inputs!$B$47*Inputs!$B$49*Production!N14)*Prices!L17</f>
        <v>0</v>
      </c>
      <c r="F14" s="26">
        <v>0</v>
      </c>
      <c r="G14" s="25">
        <f>SUM(D14:F14)</f>
        <v>14563500</v>
      </c>
      <c r="H14" s="26">
        <f>(Inputs!$B$19*Inputs!$B$7*Production!M14+Inputs!$B$50*Inputs!$B$47*Production!N14)*Prices!L17</f>
        <v>4660861.017627012</v>
      </c>
      <c r="I14" s="26">
        <f>Inputs!$B$20*B14*Prices!L17</f>
        <v>0</v>
      </c>
      <c r="J14" s="26">
        <f>Inputs!$B$21*Inputs!$B$7*Production!M14*Prices!L17</f>
        <v>597546.28431115544</v>
      </c>
      <c r="K14" s="25">
        <f>G14-SUM(H14:J14)</f>
        <v>9305092.6980618313</v>
      </c>
      <c r="L14" s="60" t="s">
        <v>274</v>
      </c>
    </row>
    <row r="15" spans="1:12" ht="15" customHeight="1">
      <c r="A15" s="60">
        <v>2036</v>
      </c>
      <c r="B15" s="24">
        <f>Production!J15</f>
        <v>292068</v>
      </c>
      <c r="C15" s="19">
        <f>Prices!I18</f>
        <v>50</v>
      </c>
      <c r="D15" s="25">
        <f>B15*C15</f>
        <v>14603400</v>
      </c>
      <c r="E15" s="26">
        <f>(Production!I15*Inputs!$B$48+Inputs!$B$47*Inputs!$B$49*Production!N15)*Prices!L18</f>
        <v>0</v>
      </c>
      <c r="F15" s="26">
        <v>0</v>
      </c>
      <c r="G15" s="25">
        <f>SUM(D15:F15)</f>
        <v>14603400</v>
      </c>
      <c r="H15" s="26">
        <f>(Inputs!$B$19*Inputs!$B$7*Production!M15+Inputs!$B$50*Inputs!$B$47*Production!N15)*Prices!L18</f>
        <v>4754078.2379795527</v>
      </c>
      <c r="I15" s="26">
        <f>Inputs!$B$20*B15*Prices!L18</f>
        <v>0</v>
      </c>
      <c r="J15" s="26">
        <f>Inputs!$B$21*Inputs!$B$7*Production!M15*Prices!L18</f>
        <v>609497.20999737852</v>
      </c>
      <c r="K15" s="25">
        <f>G15-SUM(H15:J15)</f>
        <v>9239824.5520230681</v>
      </c>
      <c r="L15" s="60" t="s">
        <v>274</v>
      </c>
    </row>
    <row r="16" spans="1:12" ht="15" customHeight="1">
      <c r="A16" s="60">
        <v>2037</v>
      </c>
      <c r="B16" s="24">
        <f>Production!J16</f>
        <v>291270</v>
      </c>
      <c r="C16" s="19">
        <f>Prices!I19</f>
        <v>50</v>
      </c>
      <c r="D16" s="25">
        <f>B16*C16</f>
        <v>14563500</v>
      </c>
      <c r="E16" s="26">
        <f>(Production!I16*Inputs!$B$48+Inputs!$B$47*Inputs!$B$49*Production!N16)*Prices!L19</f>
        <v>0</v>
      </c>
      <c r="F16" s="26">
        <v>0</v>
      </c>
      <c r="G16" s="25">
        <f>SUM(D16:F16)</f>
        <v>14563500</v>
      </c>
      <c r="H16" s="26">
        <f>(Inputs!$B$19*Inputs!$B$7*Production!M16+Inputs!$B$50*Inputs!$B$47*Production!N16)*Prices!L19</f>
        <v>4849159.8027391424</v>
      </c>
      <c r="I16" s="26">
        <f>Inputs!$B$20*B16*Prices!L19</f>
        <v>0</v>
      </c>
      <c r="J16" s="26">
        <f>Inputs!$B$21*Inputs!$B$7*Production!M16*Prices!L19</f>
        <v>621687.15419732605</v>
      </c>
      <c r="K16" s="25">
        <f>G16-SUM(H16:J16)</f>
        <v>9092653.0430635326</v>
      </c>
      <c r="L16" s="60" t="s">
        <v>274</v>
      </c>
    </row>
    <row r="17" spans="1:12" ht="15" customHeight="1">
      <c r="A17" s="60">
        <v>2038</v>
      </c>
      <c r="B17" s="24">
        <f>Production!J17</f>
        <v>291270</v>
      </c>
      <c r="C17" s="19">
        <f>Prices!I20</f>
        <v>50</v>
      </c>
      <c r="D17" s="25">
        <f>B17*C17</f>
        <v>14563500</v>
      </c>
      <c r="E17" s="26">
        <f>(Production!I17*Inputs!$B$48+Inputs!$B$47*Inputs!$B$49*Production!N17)*Prices!L20</f>
        <v>0</v>
      </c>
      <c r="F17" s="26">
        <v>0</v>
      </c>
      <c r="G17" s="25">
        <f>SUM(D17:F17)</f>
        <v>14563500</v>
      </c>
      <c r="H17" s="26">
        <f>(Inputs!$B$19*Inputs!$B$7*Production!M17+Inputs!$B$50*Inputs!$B$47*Production!N17)*Prices!L20</f>
        <v>4946142.9987939261</v>
      </c>
      <c r="I17" s="26">
        <f>Inputs!$B$20*B17*Prices!L20</f>
        <v>0</v>
      </c>
      <c r="J17" s="26">
        <f>Inputs!$B$21*Inputs!$B$7*Production!M17*Prices!L20</f>
        <v>634120.89728127269</v>
      </c>
      <c r="K17" s="25">
        <f>G17-SUM(H17:J17)</f>
        <v>8983236.1039248016</v>
      </c>
      <c r="L17" s="60" t="s">
        <v>274</v>
      </c>
    </row>
    <row r="18" spans="1:12" ht="15" customHeight="1">
      <c r="A18" s="60">
        <v>2039</v>
      </c>
      <c r="B18" s="24">
        <f>Production!J18</f>
        <v>291270</v>
      </c>
      <c r="C18" s="19">
        <f>Prices!I21</f>
        <v>50</v>
      </c>
      <c r="D18" s="25">
        <f>B18*C18</f>
        <v>14563500</v>
      </c>
      <c r="E18" s="26">
        <f>(Production!I18*Inputs!$B$48+Inputs!$B$47*Inputs!$B$49*Production!N18)*Prices!L21</f>
        <v>0</v>
      </c>
      <c r="F18" s="26">
        <v>0</v>
      </c>
      <c r="G18" s="25">
        <f>SUM(D18:F18)</f>
        <v>14563500</v>
      </c>
      <c r="H18" s="26">
        <f>(Inputs!$B$19*Inputs!$B$7*Production!M18+Inputs!$B$50*Inputs!$B$47*Production!N18)*Prices!L21</f>
        <v>5045065.8587698052</v>
      </c>
      <c r="I18" s="26">
        <f>Inputs!$B$20*B18*Prices!L21</f>
        <v>0</v>
      </c>
      <c r="J18" s="26">
        <f>Inputs!$B$21*Inputs!$B$7*Production!M18*Prices!L21</f>
        <v>646803.31522689806</v>
      </c>
      <c r="K18" s="25">
        <f>G18-SUM(H18:J18)</f>
        <v>8871630.8260032963</v>
      </c>
      <c r="L18" s="60" t="s">
        <v>274</v>
      </c>
    </row>
    <row r="19" spans="1:12" ht="15" customHeight="1">
      <c r="A19" s="60">
        <v>2040</v>
      </c>
      <c r="B19" s="24">
        <f>Production!J19</f>
        <v>292068</v>
      </c>
      <c r="C19" s="19">
        <f>Prices!I22</f>
        <v>50</v>
      </c>
      <c r="D19" s="25">
        <f>B19*C19</f>
        <v>14603400</v>
      </c>
      <c r="E19" s="26">
        <f>(Production!I19*Inputs!$B$48+Inputs!$B$47*Inputs!$B$49*Production!N19)*Prices!L22</f>
        <v>0</v>
      </c>
      <c r="F19" s="26">
        <v>0</v>
      </c>
      <c r="G19" s="25">
        <f>SUM(D19:F19)</f>
        <v>14603400</v>
      </c>
      <c r="H19" s="26">
        <f>(Inputs!$B$19*Inputs!$B$7*Production!M19+Inputs!$B$50*Inputs!$B$47*Production!N19)*Prices!L22</f>
        <v>5145967.175945201</v>
      </c>
      <c r="I19" s="26">
        <f>Inputs!$B$20*B19*Prices!L22</f>
        <v>0</v>
      </c>
      <c r="J19" s="26">
        <f>Inputs!$B$21*Inputs!$B$7*Production!M19*Prices!L22</f>
        <v>659739.38153143611</v>
      </c>
      <c r="K19" s="25">
        <f>G19-SUM(H19:J19)</f>
        <v>8797693.442523364</v>
      </c>
      <c r="L19" s="60" t="s">
        <v>274</v>
      </c>
    </row>
    <row r="20" spans="1:12" ht="15" customHeight="1">
      <c r="A20" s="60">
        <v>2041</v>
      </c>
      <c r="B20" s="24">
        <f>Production!J20</f>
        <v>291270</v>
      </c>
      <c r="C20" s="19">
        <f>Prices!I23</f>
        <v>50</v>
      </c>
      <c r="D20" s="25">
        <f>B20*C20</f>
        <v>14563500</v>
      </c>
      <c r="E20" s="26">
        <f>(Production!I20*Inputs!$B$48+Inputs!$B$47*Inputs!$B$49*Production!N20)*Prices!L23</f>
        <v>0</v>
      </c>
      <c r="F20" s="26">
        <v>0</v>
      </c>
      <c r="G20" s="25">
        <f>SUM(D20:F20)</f>
        <v>14563500</v>
      </c>
      <c r="H20" s="26">
        <f>(Inputs!$B$19*Inputs!$B$7*Production!M20+Inputs!$B$50*Inputs!$B$47*Production!N20)*Prices!L23</f>
        <v>5248886.5194641035</v>
      </c>
      <c r="I20" s="26">
        <f>Inputs!$B$20*B20*Prices!L23</f>
        <v>0</v>
      </c>
      <c r="J20" s="26">
        <f>Inputs!$B$21*Inputs!$B$7*Production!M20*Prices!L23</f>
        <v>672934.16916206456</v>
      </c>
      <c r="K20" s="25">
        <f>G20-SUM(H20:J20)</f>
        <v>8641679.3113738317</v>
      </c>
      <c r="L20" s="60" t="s">
        <v>274</v>
      </c>
    </row>
    <row r="21" spans="1:12" ht="15" customHeight="1">
      <c r="A21" s="60">
        <v>2042</v>
      </c>
      <c r="B21" s="24">
        <f>Production!J21</f>
        <v>291270</v>
      </c>
      <c r="C21" s="19">
        <f>Prices!I24</f>
        <v>50</v>
      </c>
      <c r="D21" s="25">
        <f>B21*C21</f>
        <v>14563500</v>
      </c>
      <c r="E21" s="26">
        <f>(Production!I21*Inputs!$B$48+Inputs!$B$47*Inputs!$B$49*Production!N21)*Prices!L24</f>
        <v>0</v>
      </c>
      <c r="F21" s="26">
        <v>0</v>
      </c>
      <c r="G21" s="25">
        <f>SUM(D21:F21)</f>
        <v>14563500</v>
      </c>
      <c r="H21" s="26">
        <f>(Inputs!$B$19*Inputs!$B$7*Production!M21+Inputs!$B$50*Inputs!$B$47*Production!N21)*Prices!L24</f>
        <v>5353864.2498533865</v>
      </c>
      <c r="I21" s="26">
        <f>Inputs!$B$20*B21*Prices!L24</f>
        <v>0</v>
      </c>
      <c r="J21" s="26">
        <f>Inputs!$B$21*Inputs!$B$7*Production!M21*Prices!L24</f>
        <v>686392.85254530597</v>
      </c>
      <c r="K21" s="25">
        <f>G21-SUM(H21:J21)</f>
        <v>8523242.8976013064</v>
      </c>
      <c r="L21" s="60" t="s">
        <v>274</v>
      </c>
    </row>
    <row r="22" spans="1:12" ht="15" customHeight="1">
      <c r="A22" s="60">
        <v>2043</v>
      </c>
      <c r="B22" s="24">
        <f>Production!J22</f>
        <v>291270</v>
      </c>
      <c r="C22" s="19">
        <f>Prices!I25</f>
        <v>34.899617131951985</v>
      </c>
      <c r="D22" s="25">
        <f>B22*C22</f>
        <v>10165211.482023655</v>
      </c>
      <c r="E22" s="26">
        <f>(Production!I22*Inputs!$B$48+Inputs!$B$47*Inputs!$B$49*Production!N22)*Prices!L25</f>
        <v>0</v>
      </c>
      <c r="F22" s="26">
        <v>0</v>
      </c>
      <c r="G22" s="25">
        <f>SUM(D22:F22)</f>
        <v>10165211.482023655</v>
      </c>
      <c r="H22" s="26">
        <f>(Inputs!$B$19*Inputs!$B$7*Production!M22+Inputs!$B$50*Inputs!$B$47*Production!N22)*Prices!L25</f>
        <v>5460941.5348504549</v>
      </c>
      <c r="I22" s="26">
        <f>Inputs!$B$20*B22*Prices!L25</f>
        <v>0</v>
      </c>
      <c r="J22" s="26">
        <f>Inputs!$B$21*Inputs!$B$7*Production!M22*Prices!L25</f>
        <v>700120.70959621225</v>
      </c>
      <c r="K22" s="25">
        <f>G22-SUM(H22:J22)</f>
        <v>4004149.2375769876</v>
      </c>
      <c r="L22" s="60" t="s">
        <v>274</v>
      </c>
    </row>
    <row r="23" spans="1:12" ht="15" customHeight="1">
      <c r="A23" s="60">
        <v>2044</v>
      </c>
      <c r="B23" s="24">
        <f>Production!J23</f>
        <v>292068</v>
      </c>
      <c r="C23" s="19">
        <f>Prices!I26</f>
        <v>36.094639168747563</v>
      </c>
      <c r="D23" s="25">
        <f>B23*C23</f>
        <v>10542089.072737763</v>
      </c>
      <c r="E23" s="26">
        <f>(Production!I23*Inputs!$B$48+Inputs!$B$47*Inputs!$B$49*Production!N23)*Prices!L26</f>
        <v>0</v>
      </c>
      <c r="F23" s="26">
        <v>0</v>
      </c>
      <c r="G23" s="25">
        <f>SUM(D23:F23)</f>
        <v>10542089.072737763</v>
      </c>
      <c r="H23" s="26">
        <f>(Inputs!$B$19*Inputs!$B$7*Production!M23+Inputs!$B$50*Inputs!$B$47*Production!N23)*Prices!L26</f>
        <v>5570160.3655474633</v>
      </c>
      <c r="I23" s="26">
        <f>Inputs!$B$20*B23*Prices!L26</f>
        <v>0</v>
      </c>
      <c r="J23" s="26">
        <f>Inputs!$B$21*Inputs!$B$7*Production!M23*Prices!L26</f>
        <v>714123.12378813641</v>
      </c>
      <c r="K23" s="25">
        <f>G23-SUM(H23:J23)</f>
        <v>4257805.5834021633</v>
      </c>
      <c r="L23" s="60" t="s">
        <v>274</v>
      </c>
    </row>
    <row r="24" spans="1:12" ht="15" customHeight="1">
      <c r="A24" s="60">
        <v>2045</v>
      </c>
      <c r="B24" s="24">
        <f>Production!J24</f>
        <v>291270</v>
      </c>
      <c r="C24" s="19">
        <f>Prices!I27</f>
        <v>37.323502240162192</v>
      </c>
      <c r="D24" s="25">
        <f>B24*C24</f>
        <v>10871216.497492041</v>
      </c>
      <c r="E24" s="26">
        <f>(Production!I24*Inputs!$B$48+Inputs!$B$47*Inputs!$B$49*Production!N24)*Prices!L27</f>
        <v>0</v>
      </c>
      <c r="F24" s="26">
        <v>0</v>
      </c>
      <c r="G24" s="25">
        <f>SUM(D24:F24)</f>
        <v>10871216.497492041</v>
      </c>
      <c r="H24" s="26">
        <f>(Inputs!$B$19*Inputs!$B$7*Production!M24+Inputs!$B$50*Inputs!$B$47*Production!N24)*Prices!L27</f>
        <v>5681563.5728584128</v>
      </c>
      <c r="I24" s="26">
        <f>Inputs!$B$20*B24*Prices!L27</f>
        <v>0</v>
      </c>
      <c r="J24" s="26">
        <f>Inputs!$B$21*Inputs!$B$7*Production!M24*Prices!L27</f>
        <v>728405.58626389911</v>
      </c>
      <c r="K24" s="25">
        <f>G24-SUM(H24:J24)</f>
        <v>4461247.3383697299</v>
      </c>
      <c r="L24" s="60" t="s">
        <v>274</v>
      </c>
    </row>
    <row r="25" spans="1:12" ht="15" customHeight="1">
      <c r="A25" s="60">
        <v>2046</v>
      </c>
      <c r="B25" s="24">
        <f>Production!J25</f>
        <v>291270</v>
      </c>
      <c r="C25" s="19">
        <f>Prices!I28</f>
        <v>38.587081978765902</v>
      </c>
      <c r="D25" s="25">
        <f>B25*C25</f>
        <v>11239259.367955144</v>
      </c>
      <c r="E25" s="26">
        <f>(Production!I25*Inputs!$B$48+Inputs!$B$47*Inputs!$B$49*Production!N25)*Prices!L28</f>
        <v>0</v>
      </c>
      <c r="F25" s="26">
        <v>0</v>
      </c>
      <c r="G25" s="25">
        <f>SUM(D25:F25)</f>
        <v>11239259.367955144</v>
      </c>
      <c r="H25" s="26">
        <f>(Inputs!$B$19*Inputs!$B$7*Production!M25+Inputs!$B$50*Inputs!$B$47*Production!N25)*Prices!L28</f>
        <v>5795194.844315582</v>
      </c>
      <c r="I25" s="26">
        <f>Inputs!$B$20*B25*Prices!L28</f>
        <v>0</v>
      </c>
      <c r="J25" s="26">
        <f>Inputs!$B$21*Inputs!$B$7*Production!M25*Prices!L28</f>
        <v>742973.69798917708</v>
      </c>
      <c r="K25" s="25">
        <f>G25-SUM(H25:J25)</f>
        <v>4701090.8256503856</v>
      </c>
      <c r="L25" s="60" t="s">
        <v>274</v>
      </c>
    </row>
    <row r="26" spans="1:12" ht="15" customHeight="1">
      <c r="A26" s="60">
        <v>2047</v>
      </c>
      <c r="B26" s="24">
        <f>Production!J26</f>
        <v>291270</v>
      </c>
      <c r="C26" s="19">
        <f>Prices!I29</f>
        <v>39.886275506017689</v>
      </c>
      <c r="D26" s="25">
        <f>B26*C26</f>
        <v>11617675.466637772</v>
      </c>
      <c r="E26" s="26">
        <f>(Production!I26*Inputs!$B$48+Inputs!$B$47*Inputs!$B$49*Production!N26)*Prices!L29</f>
        <v>0</v>
      </c>
      <c r="F26" s="26">
        <v>0</v>
      </c>
      <c r="G26" s="25">
        <f>SUM(D26:F26)</f>
        <v>11617675.466637772</v>
      </c>
      <c r="H26" s="26">
        <f>(Inputs!$B$19*Inputs!$B$7*Production!M26+Inputs!$B$50*Inputs!$B$47*Production!N26)*Prices!L29</f>
        <v>5911098.7412018925</v>
      </c>
      <c r="I26" s="26">
        <f>Inputs!$B$20*B26*Prices!L29</f>
        <v>0</v>
      </c>
      <c r="J26" s="26">
        <f>Inputs!$B$21*Inputs!$B$7*Production!M26*Prices!L29</f>
        <v>757833.17194896063</v>
      </c>
      <c r="K26" s="25">
        <f>G26-SUM(H26:J26)</f>
        <v>4948743.5534869181</v>
      </c>
      <c r="L26" s="60" t="s">
        <v>274</v>
      </c>
    </row>
    <row r="27" spans="1:12" ht="15" customHeight="1">
      <c r="A27" s="60">
        <v>2048</v>
      </c>
      <c r="B27" s="24">
        <f>Production!J27</f>
        <v>292068</v>
      </c>
      <c r="C27" s="19">
        <f>Prices!I30</f>
        <v>41.222001941568053</v>
      </c>
      <c r="D27" s="25">
        <f>B27*C27</f>
        <v>12039627.663069898</v>
      </c>
      <c r="E27" s="26">
        <f>(Production!I27*Inputs!$B$48+Inputs!$B$47*Inputs!$B$49*Production!N27)*Prices!L30</f>
        <v>0</v>
      </c>
      <c r="F27" s="26">
        <v>0</v>
      </c>
      <c r="G27" s="25">
        <f>SUM(D27:F27)</f>
        <v>12039627.663069898</v>
      </c>
      <c r="H27" s="26">
        <f>(Inputs!$B$19*Inputs!$B$7*Production!M27+Inputs!$B$50*Inputs!$B$47*Production!N27)*Prices!L30</f>
        <v>6029320.7160259308</v>
      </c>
      <c r="I27" s="26">
        <f>Inputs!$B$20*B27*Prices!L30</f>
        <v>0</v>
      </c>
      <c r="J27" s="26">
        <f>Inputs!$B$21*Inputs!$B$7*Production!M27*Prices!L30</f>
        <v>772989.83538793982</v>
      </c>
      <c r="K27" s="25">
        <f>G27-SUM(H27:J27)</f>
        <v>5237317.1116560278</v>
      </c>
      <c r="L27" s="60" t="s">
        <v>274</v>
      </c>
    </row>
    <row r="28" spans="1:12" ht="15" customHeight="1">
      <c r="A28" s="60">
        <v>2049</v>
      </c>
      <c r="B28" s="24">
        <f>Production!J28</f>
        <v>291270</v>
      </c>
      <c r="C28" s="19">
        <f>Prices!I31</f>
        <v>42.595202924338018</v>
      </c>
      <c r="D28" s="25">
        <f>B28*C28</f>
        <v>12406704.755771935</v>
      </c>
      <c r="E28" s="26">
        <f>(Production!I28*Inputs!$B$48+Inputs!$B$47*Inputs!$B$49*Production!N28)*Prices!L31</f>
        <v>0</v>
      </c>
      <c r="F28" s="26">
        <v>0</v>
      </c>
      <c r="G28" s="25">
        <f>SUM(D28:F28)</f>
        <v>12406704.755771935</v>
      </c>
      <c r="H28" s="26">
        <f>(Inputs!$B$19*Inputs!$B$7*Production!M28+Inputs!$B$50*Inputs!$B$47*Production!N28)*Prices!L31</f>
        <v>6149907.1303464482</v>
      </c>
      <c r="I28" s="26">
        <f>Inputs!$B$20*B28*Prices!L31</f>
        <v>0</v>
      </c>
      <c r="J28" s="26">
        <f>Inputs!$B$21*Inputs!$B$7*Production!M28*Prices!L31</f>
        <v>788449.6320956985</v>
      </c>
      <c r="K28" s="25">
        <f>G28-SUM(H28:J28)</f>
        <v>5468347.9933297886</v>
      </c>
      <c r="L28" s="60" t="s">
        <v>274</v>
      </c>
    </row>
    <row r="29" spans="1:12" ht="15" customHeight="1">
      <c r="A29" s="60">
        <v>2050</v>
      </c>
      <c r="B29" s="24">
        <f>Production!J29</f>
        <v>291270</v>
      </c>
      <c r="C29" s="19">
        <f>Prices!I32</f>
        <v>44.006843145642158</v>
      </c>
      <c r="D29" s="25">
        <f>B29*C29</f>
        <v>12817873.203031192</v>
      </c>
      <c r="E29" s="26">
        <f>(Production!I29*Inputs!$B$48+Inputs!$B$47*Inputs!$B$49*Production!N29)*Prices!L32</f>
        <v>0</v>
      </c>
      <c r="F29" s="26">
        <v>0</v>
      </c>
      <c r="G29" s="25">
        <f>SUM(D29:F29)</f>
        <v>12817873.203031192</v>
      </c>
      <c r="H29" s="26">
        <f>(Inputs!$B$19*Inputs!$B$7*Production!M29+Inputs!$B$50*Inputs!$B$47*Production!N29)*Prices!L32</f>
        <v>6272905.272953378</v>
      </c>
      <c r="I29" s="26">
        <f>Inputs!$B$20*B29*Prices!L32</f>
        <v>0</v>
      </c>
      <c r="J29" s="26">
        <f>Inputs!$B$21*Inputs!$B$7*Production!M29*Prices!L32</f>
        <v>804218.62473761255</v>
      </c>
      <c r="K29" s="25">
        <f>G29-SUM(H29:J29)</f>
        <v>5740749.3053402007</v>
      </c>
      <c r="L29" s="60" t="s">
        <v>274</v>
      </c>
    </row>
    <row r="30" spans="1:12" ht="15" customHeight="1">
      <c r="A30" s="60">
        <v>2051</v>
      </c>
      <c r="B30" s="24">
        <f>Production!J30</f>
        <v>291270</v>
      </c>
      <c r="C30" s="19">
        <f>Prices!I33</f>
        <v>44.886980008555</v>
      </c>
      <c r="D30" s="25">
        <f>B30*C30</f>
        <v>13074230.667091815</v>
      </c>
      <c r="E30" s="26">
        <f>(Production!I30*Inputs!$B$48+Inputs!$B$47*Inputs!$B$49*Production!N30)*Prices!L33</f>
        <v>0</v>
      </c>
      <c r="F30" s="26">
        <v>0</v>
      </c>
      <c r="G30" s="25">
        <f>SUM(D30:F30)</f>
        <v>13074230.667091815</v>
      </c>
      <c r="H30" s="26">
        <f>(Inputs!$B$19*Inputs!$B$7*Production!M30+Inputs!$B$50*Inputs!$B$47*Production!N30)*Prices!L33</f>
        <v>6398363.3784124451</v>
      </c>
      <c r="I30" s="26">
        <f>Inputs!$B$20*B30*Prices!L33</f>
        <v>0</v>
      </c>
      <c r="J30" s="26">
        <f>Inputs!$B$21*Inputs!$B$7*Production!M30*Prices!L33</f>
        <v>820302.99723236472</v>
      </c>
      <c r="K30" s="25">
        <f>G30-SUM(H30:J30)</f>
        <v>5855564.2914470052</v>
      </c>
      <c r="L30" s="60" t="s">
        <v>274</v>
      </c>
    </row>
    <row r="31" spans="1:12" ht="15" customHeight="1">
      <c r="A31" s="60">
        <v>2052</v>
      </c>
      <c r="B31" s="24">
        <f>Production!J31</f>
        <v>292068</v>
      </c>
      <c r="C31" s="19">
        <f>Prices!I34</f>
        <v>45.784719608726107</v>
      </c>
      <c r="D31" s="25">
        <f>B31*C31</f>
        <v>13372251.486681417</v>
      </c>
      <c r="E31" s="26">
        <f>(Production!I31*Inputs!$B$48+Inputs!$B$47*Inputs!$B$49*Production!N31)*Prices!L34</f>
        <v>0</v>
      </c>
      <c r="F31" s="26">
        <v>0</v>
      </c>
      <c r="G31" s="25">
        <f>SUM(D31:F31)</f>
        <v>13372251.486681417</v>
      </c>
      <c r="H31" s="26">
        <f>(Inputs!$B$19*Inputs!$B$7*Production!M31+Inputs!$B$50*Inputs!$B$47*Production!N31)*Prices!L34</f>
        <v>6526330.6459806953</v>
      </c>
      <c r="I31" s="26">
        <f>Inputs!$B$20*B31*Prices!L34</f>
        <v>0</v>
      </c>
      <c r="J31" s="26">
        <f>Inputs!$B$21*Inputs!$B$7*Production!M31*Prices!L34</f>
        <v>836709.0571770122</v>
      </c>
      <c r="K31" s="25">
        <f>G31-SUM(H31:J31)</f>
        <v>6009211.7835237095</v>
      </c>
      <c r="L31" s="60" t="s">
        <v>274</v>
      </c>
    </row>
    <row r="32" spans="1:12" ht="15" customHeight="1">
      <c r="A32" s="60">
        <v>2053</v>
      </c>
      <c r="B32" s="24">
        <f>Production!J32</f>
        <v>0</v>
      </c>
      <c r="C32" s="19">
        <f>Prices!I35</f>
        <v>46.700414000900615</v>
      </c>
      <c r="D32" s="25">
        <f>B32*C32</f>
        <v>0</v>
      </c>
      <c r="E32" s="26">
        <f>(Production!I32*Inputs!$B$48+Inputs!$B$47*Inputs!$B$49*Production!N32)*Prices!L35</f>
        <v>0</v>
      </c>
      <c r="F32" s="26">
        <v>0</v>
      </c>
      <c r="G32" s="25">
        <f>SUM(D32:F32)</f>
        <v>0</v>
      </c>
      <c r="H32" s="26">
        <f>(Inputs!$B$19*Inputs!$B$7*Production!M32+Inputs!$B$50*Inputs!$B$47*Production!N32)*Prices!L35</f>
        <v>0</v>
      </c>
      <c r="I32" s="26">
        <f>Inputs!$B$20*B32*Prices!L35</f>
        <v>0</v>
      </c>
      <c r="J32" s="26">
        <f>Inputs!$B$21*Inputs!$B$7*Production!M32*Prices!L35</f>
        <v>0</v>
      </c>
      <c r="K32" s="25">
        <f>G32-SUM(H32:J32)</f>
        <v>0</v>
      </c>
      <c r="L32" s="60" t="s">
        <v>274</v>
      </c>
    </row>
    <row r="33" spans="1:12" ht="15" customHeight="1">
      <c r="A33" s="60">
        <v>2054</v>
      </c>
      <c r="B33" s="24">
        <f>Production!J33</f>
        <v>0</v>
      </c>
      <c r="C33" s="19">
        <f>Prices!I36</f>
        <v>47.634422280918642</v>
      </c>
      <c r="D33" s="25">
        <f>B33*C33</f>
        <v>0</v>
      </c>
      <c r="E33" s="26">
        <f>(Production!I33*Inputs!$B$48+Inputs!$B$47*Inputs!$B$49*Production!N33)*Prices!L36</f>
        <v>0</v>
      </c>
      <c r="F33" s="26">
        <v>0</v>
      </c>
      <c r="G33" s="25">
        <f>SUM(D33:F33)</f>
        <v>0</v>
      </c>
      <c r="H33" s="26">
        <f>(Inputs!$B$19*Inputs!$B$7*Production!M33+Inputs!$B$50*Inputs!$B$47*Production!N33)*Prices!L36</f>
        <v>0</v>
      </c>
      <c r="I33" s="26">
        <f>Inputs!$B$20*B33*Prices!L36</f>
        <v>0</v>
      </c>
      <c r="J33" s="26">
        <f>Inputs!$B$21*Inputs!$B$7*Production!M33*Prices!L36</f>
        <v>0</v>
      </c>
      <c r="K33" s="25">
        <f>G33-SUM(H33:J33)</f>
        <v>0</v>
      </c>
      <c r="L33" s="60" t="s">
        <v>274</v>
      </c>
    </row>
    <row r="34" spans="1:12" ht="15" customHeight="1">
      <c r="A34" s="60">
        <v>2055</v>
      </c>
      <c r="B34" s="24">
        <f>Production!J34</f>
        <v>0</v>
      </c>
      <c r="C34" s="19">
        <f>Prices!I37</f>
        <v>48.587110726537006</v>
      </c>
      <c r="D34" s="25">
        <f>B34*C34</f>
        <v>0</v>
      </c>
      <c r="E34" s="26">
        <f>(Production!I34*Inputs!$B$48+Inputs!$B$47*Inputs!$B$49*Production!N34)*Prices!L37</f>
        <v>0</v>
      </c>
      <c r="F34" s="26">
        <v>0</v>
      </c>
      <c r="G34" s="25">
        <f>SUM(D34:F34)</f>
        <v>0</v>
      </c>
      <c r="H34" s="26">
        <f>(Inputs!$B$19*Inputs!$B$7*Production!M34+Inputs!$B$50*Inputs!$B$47*Production!N34)*Prices!L37</f>
        <v>0</v>
      </c>
      <c r="I34" s="26">
        <f>Inputs!$B$20*B34*Prices!L37</f>
        <v>0</v>
      </c>
      <c r="J34" s="26">
        <f>Inputs!$B$21*Inputs!$B$7*Production!M34*Prices!L37</f>
        <v>0</v>
      </c>
      <c r="K34" s="25">
        <f>G34-SUM(H34:J34)</f>
        <v>0</v>
      </c>
      <c r="L34" s="60" t="s">
        <v>274</v>
      </c>
    </row>
    <row r="35" spans="1:12" ht="15" customHeight="1">
      <c r="A35" s="60">
        <v>2056</v>
      </c>
      <c r="B35" s="24">
        <f>Production!J35</f>
        <v>0</v>
      </c>
      <c r="C35" s="19">
        <f>Prices!I38</f>
        <v>49.558852941067748</v>
      </c>
      <c r="D35" s="25">
        <f>B35*C35</f>
        <v>0</v>
      </c>
      <c r="E35" s="26">
        <f>(Production!I35*Inputs!$B$48+Inputs!$B$47*Inputs!$B$49*Production!N35)*Prices!L38</f>
        <v>0</v>
      </c>
      <c r="F35" s="26">
        <v>0</v>
      </c>
      <c r="G35" s="25">
        <f>SUM(D35:F35)</f>
        <v>0</v>
      </c>
      <c r="H35" s="26">
        <f>(Inputs!$B$19*Inputs!$B$7*Production!M35+Inputs!$B$50*Inputs!$B$47*Production!N35)*Prices!L38</f>
        <v>0</v>
      </c>
      <c r="I35" s="26">
        <f>Inputs!$B$20*B35*Prices!L38</f>
        <v>0</v>
      </c>
      <c r="J35" s="26">
        <f>Inputs!$B$21*Inputs!$B$7*Production!M35*Prices!L38</f>
        <v>0</v>
      </c>
      <c r="K35" s="25">
        <f>G35-SUM(H35:J35)</f>
        <v>0</v>
      </c>
      <c r="L35" s="60" t="s">
        <v>274</v>
      </c>
    </row>
    <row r="36" spans="1:12" ht="15" customHeight="1">
      <c r="A36" s="60">
        <v>2057</v>
      </c>
      <c r="B36" s="24">
        <f>Production!J36</f>
        <v>0</v>
      </c>
      <c r="C36" s="19">
        <f>Prices!I39</f>
        <v>50.550029999889091</v>
      </c>
      <c r="D36" s="25">
        <f>B36*C36</f>
        <v>0</v>
      </c>
      <c r="E36" s="26">
        <f>(Production!I36*Inputs!$B$48+Inputs!$B$47*Inputs!$B$49*Production!N36)*Prices!L39</f>
        <v>0</v>
      </c>
      <c r="F36" s="26">
        <v>0</v>
      </c>
      <c r="G36" s="25">
        <f>SUM(D36:F36)</f>
        <v>0</v>
      </c>
      <c r="H36" s="26">
        <f>(Inputs!$B$19*Inputs!$B$7*Production!M36+Inputs!$B$50*Inputs!$B$47*Production!N36)*Prices!L39</f>
        <v>0</v>
      </c>
      <c r="I36" s="26">
        <f>Inputs!$B$20*B36*Prices!L39</f>
        <v>0</v>
      </c>
      <c r="J36" s="26">
        <f>Inputs!$B$21*Inputs!$B$7*Production!M36*Prices!L39</f>
        <v>0</v>
      </c>
      <c r="K36" s="25">
        <f>G36-SUM(H36:J36)</f>
        <v>0</v>
      </c>
      <c r="L36" s="60" t="s">
        <v>274</v>
      </c>
    </row>
    <row r="37" spans="1:12" ht="15" customHeight="1">
      <c r="A37" s="60">
        <v>2058</v>
      </c>
      <c r="B37" s="24">
        <f>Production!J37</f>
        <v>0</v>
      </c>
      <c r="C37" s="19">
        <f>Prices!I40</f>
        <v>51.561030599886884</v>
      </c>
      <c r="D37" s="25">
        <f>B37*C37</f>
        <v>0</v>
      </c>
      <c r="E37" s="26">
        <f>(Production!I37*Inputs!$B$48+Inputs!$B$47*Inputs!$B$49*Production!N37)*Prices!L40</f>
        <v>0</v>
      </c>
      <c r="F37" s="26">
        <v>0</v>
      </c>
      <c r="G37" s="25">
        <f>SUM(D37:F37)</f>
        <v>0</v>
      </c>
      <c r="H37" s="26">
        <f>(Inputs!$B$19*Inputs!$B$7*Production!M37+Inputs!$B$50*Inputs!$B$47*Production!N37)*Prices!L40</f>
        <v>0</v>
      </c>
      <c r="I37" s="26">
        <f>Inputs!$B$20*B37*Prices!L40</f>
        <v>0</v>
      </c>
      <c r="J37" s="26">
        <f>Inputs!$B$21*Inputs!$B$7*Production!M37*Prices!L40</f>
        <v>0</v>
      </c>
      <c r="K37" s="25">
        <f>G37-SUM(H37:J37)</f>
        <v>0</v>
      </c>
      <c r="L37" s="60" t="s">
        <v>274</v>
      </c>
    </row>
  </sheetData>
  <mergeCells count="2">
    <mergeCell ref="A1:L1"/>
    <mergeCell ref="A3:L3"/>
  </mergeCells>
  <pageMargins left="0.75" right="0.75" top="1" bottom="1" header="0.511811023622047" footer="0.5"/>
  <pageSetup fitToHeight="0" orientation="portrait" horizontalDpi="300" verticalDpi="300"/>
  <headerFooter>
    <oddFooter>&amp;CFinnish Onshore Wind Project Finance Model&amp;RPage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65D"/>
    <pageSetUpPr fitToPage="1"/>
  </sheetPr>
  <dimension ref="A1:O48"/>
  <sheetViews>
    <sheetView showGridLines="0" zoomScaleNormal="100" workbookViewId="0">
      <pane ySplit="13" topLeftCell="A14" activePane="bottomLeft" state="frozen"/>
      <selection pane="bottomLeft" activeCell="F8" sqref="F8"/>
    </sheetView>
  </sheetViews>
  <sheetFormatPr defaultColWidth="8.7109375" defaultRowHeight="15"/>
  <cols>
    <col min="1" max="1" width="12" style="1" customWidth="1"/>
    <col min="2" max="2" width="18" style="1" customWidth="1"/>
    <col min="3" max="5" width="16" style="1" customWidth="1"/>
    <col min="6" max="6" width="30" style="1" customWidth="1"/>
    <col min="7" max="7" width="18" style="1" customWidth="1"/>
    <col min="8" max="12" width="16" style="1" customWidth="1"/>
    <col min="13" max="13" width="18" style="1" customWidth="1"/>
    <col min="14" max="14" width="26" style="1" customWidth="1"/>
    <col min="15" max="15" width="16" style="1" customWidth="1"/>
  </cols>
  <sheetData>
    <row r="1" spans="1:15" ht="27.75" customHeight="1">
      <c r="A1" s="63" t="s">
        <v>115</v>
      </c>
      <c r="B1" s="63"/>
      <c r="C1" s="63"/>
      <c r="D1" s="63"/>
      <c r="E1" s="63"/>
      <c r="F1" s="63"/>
      <c r="G1" s="63"/>
      <c r="H1" s="63"/>
      <c r="I1" s="63"/>
      <c r="J1" s="63"/>
      <c r="K1" s="63"/>
      <c r="L1" s="63"/>
    </row>
    <row r="3" spans="1:15" ht="19.5" customHeight="1">
      <c r="A3" s="64" t="s">
        <v>287</v>
      </c>
      <c r="B3" s="64"/>
      <c r="C3" s="64"/>
      <c r="D3" s="64"/>
      <c r="E3" s="64"/>
      <c r="F3" s="64"/>
      <c r="G3" s="64"/>
      <c r="H3" s="64"/>
      <c r="I3" s="64"/>
      <c r="J3" s="64"/>
      <c r="K3" s="64"/>
      <c r="L3" s="64"/>
    </row>
    <row r="4" spans="1:15" ht="15" customHeight="1">
      <c r="A4" s="62" t="s">
        <v>288</v>
      </c>
      <c r="B4" s="62" t="s">
        <v>4</v>
      </c>
      <c r="C4" s="62" t="s">
        <v>5</v>
      </c>
      <c r="D4" s="62" t="s">
        <v>289</v>
      </c>
      <c r="F4" s="62" t="s">
        <v>290</v>
      </c>
      <c r="G4" s="62" t="s">
        <v>4</v>
      </c>
    </row>
    <row r="5" spans="1:15" ht="41.25" customHeight="1">
      <c r="A5" s="60" t="s">
        <v>116</v>
      </c>
      <c r="B5" s="24">
        <f>Inputs!B32</f>
        <v>1.3</v>
      </c>
      <c r="C5" s="60" t="s">
        <v>117</v>
      </c>
      <c r="D5" s="60" t="s">
        <v>291</v>
      </c>
      <c r="F5" s="60" t="s">
        <v>292</v>
      </c>
      <c r="G5" s="25">
        <f>((Inputs!B14+Inputs!B16)*Inputs!B7*1000+Inputs!B15*Inputs!B24*1000)*(1+Inputs!$B$63)^(Inputs!B9-1-Cashflow!A5)</f>
        <v>153000000</v>
      </c>
    </row>
    <row r="6" spans="1:15" ht="15" customHeight="1">
      <c r="A6" s="60" t="s">
        <v>293</v>
      </c>
      <c r="B6" s="18">
        <f>Inputs!B33</f>
        <v>5.7500000000000002E-2</v>
      </c>
      <c r="C6" s="60" t="s">
        <v>70</v>
      </c>
      <c r="D6" s="60" t="s">
        <v>294</v>
      </c>
      <c r="F6" s="60" t="s">
        <v>295</v>
      </c>
      <c r="G6" s="25">
        <f>SUMPRODUCT(N14:N46,O14:O46)</f>
        <v>71421307.791443959</v>
      </c>
    </row>
    <row r="7" spans="1:15" ht="15" customHeight="1">
      <c r="A7" s="60" t="s">
        <v>124</v>
      </c>
      <c r="B7" s="24">
        <f>Inputs!B34</f>
        <v>15</v>
      </c>
      <c r="C7" s="60" t="s">
        <v>16</v>
      </c>
      <c r="D7" s="60" t="s">
        <v>124</v>
      </c>
      <c r="F7" s="60" t="s">
        <v>296</v>
      </c>
      <c r="G7" s="27">
        <f>IF(G6=0,1,MIN(1,Inputs!$B$59*G5/G6))</f>
        <v>1</v>
      </c>
    </row>
    <row r="8" spans="1:15" ht="54.75" customHeight="1">
      <c r="A8" s="60" t="s">
        <v>297</v>
      </c>
      <c r="B8" s="25">
        <f>G6*G7</f>
        <v>71421307.791443959</v>
      </c>
      <c r="C8" s="60" t="s">
        <v>298</v>
      </c>
      <c r="D8" s="60" t="s">
        <v>299</v>
      </c>
      <c r="F8" s="60" t="s">
        <v>300</v>
      </c>
      <c r="G8" s="18">
        <f>IF(G5=0,"",B8/G5)</f>
        <v>0.46680593327741149</v>
      </c>
    </row>
    <row r="9" spans="1:15" ht="41.25" customHeight="1">
      <c r="A9" s="60" t="s">
        <v>301</v>
      </c>
      <c r="B9" s="25">
        <f>G5-B8</f>
        <v>81578692.208556041</v>
      </c>
      <c r="C9" s="60" t="s">
        <v>298</v>
      </c>
      <c r="D9" s="60" t="s">
        <v>302</v>
      </c>
      <c r="F9" s="60" t="s">
        <v>303</v>
      </c>
      <c r="G9" s="18">
        <f>Inputs!$B$59</f>
        <v>0.75</v>
      </c>
    </row>
    <row r="12" spans="1:15" ht="19.5" customHeight="1">
      <c r="A12" s="64" t="s">
        <v>304</v>
      </c>
      <c r="B12" s="64"/>
      <c r="C12" s="64"/>
      <c r="D12" s="64"/>
      <c r="E12" s="64"/>
      <c r="F12" s="64"/>
      <c r="G12" s="64"/>
      <c r="H12" s="64"/>
      <c r="I12" s="64"/>
      <c r="J12" s="64"/>
      <c r="K12" s="64"/>
      <c r="L12" s="64"/>
    </row>
    <row r="13" spans="1:15" ht="27.75" customHeight="1">
      <c r="A13" s="62" t="s">
        <v>238</v>
      </c>
      <c r="B13" s="62" t="s">
        <v>305</v>
      </c>
      <c r="C13" s="62" t="s">
        <v>306</v>
      </c>
      <c r="D13" s="62" t="s">
        <v>307</v>
      </c>
      <c r="E13" s="62" t="s">
        <v>308</v>
      </c>
      <c r="F13" s="62" t="s">
        <v>309</v>
      </c>
      <c r="G13" s="62" t="s">
        <v>310</v>
      </c>
      <c r="H13" s="62" t="s">
        <v>311</v>
      </c>
      <c r="I13" s="62" t="s">
        <v>312</v>
      </c>
      <c r="J13" s="62" t="s">
        <v>313</v>
      </c>
      <c r="K13" s="62" t="s">
        <v>314</v>
      </c>
      <c r="L13" s="62" t="s">
        <v>6</v>
      </c>
      <c r="M13" s="62" t="s">
        <v>315</v>
      </c>
      <c r="N13" s="62" t="s">
        <v>316</v>
      </c>
      <c r="O13" s="62" t="s">
        <v>317</v>
      </c>
    </row>
    <row r="14" spans="1:15" ht="15" customHeight="1">
      <c r="A14" s="60">
        <v>2026</v>
      </c>
      <c r="B14" s="25">
        <f>Cashflow!F5</f>
        <v>0</v>
      </c>
      <c r="C14" s="25">
        <v>0</v>
      </c>
      <c r="D14" s="25">
        <f>IF(A14=Inputs!$B$9-1,$B$8,0)</f>
        <v>0</v>
      </c>
      <c r="E14" s="25">
        <f>C14*$B$6</f>
        <v>0</v>
      </c>
      <c r="F14" s="25">
        <f>IF(M14=1,N14*$G$7-E14,0)</f>
        <v>0</v>
      </c>
      <c r="G14" s="25">
        <f>E14+F14</f>
        <v>0</v>
      </c>
      <c r="H14" s="25">
        <f>C14+D14-F14</f>
        <v>0</v>
      </c>
      <c r="I14" s="28" t="str">
        <f>IF(ABS(G14)&lt;0.5,"",B14/G14)</f>
        <v/>
      </c>
      <c r="J14" s="28">
        <f>$B$5</f>
        <v>1.3</v>
      </c>
      <c r="K14" s="19" t="str">
        <f>IF(I14="","",I14-J14)</f>
        <v/>
      </c>
      <c r="L14" s="60" t="s">
        <v>274</v>
      </c>
      <c r="M14" s="20">
        <f>IF(AND(A14&gt;=Inputs!$B$9,A14&lt;Inputs!$B$9+MIN($B$7,Inputs!$B$35)),1,0)</f>
        <v>0</v>
      </c>
      <c r="N14" s="25">
        <f>M14*Cashflow!N5/$B$5</f>
        <v>0</v>
      </c>
      <c r="O14" s="21">
        <f>1/(1+$B$6)^(A14-(Inputs!$B$9-1))</f>
        <v>1.0575000000000001</v>
      </c>
    </row>
    <row r="15" spans="1:15" ht="15" customHeight="1">
      <c r="A15" s="60">
        <v>2027</v>
      </c>
      <c r="B15" s="25">
        <f>Cashflow!F6</f>
        <v>0</v>
      </c>
      <c r="C15" s="25">
        <f>H14</f>
        <v>0</v>
      </c>
      <c r="D15" s="25">
        <f>IF(A15=Inputs!$B$9-1,$B$8,0)</f>
        <v>71421307.791443959</v>
      </c>
      <c r="E15" s="25">
        <f>C15*$B$6</f>
        <v>0</v>
      </c>
      <c r="F15" s="25">
        <f>IF(M15=1,N15*$G$7-E15,0)</f>
        <v>0</v>
      </c>
      <c r="G15" s="25">
        <f>E15+F15</f>
        <v>0</v>
      </c>
      <c r="H15" s="25">
        <f>C15+D15-F15</f>
        <v>71421307.791443959</v>
      </c>
      <c r="I15" s="28" t="str">
        <f>IF(ABS(G15)&lt;0.5,"",B15/G15)</f>
        <v/>
      </c>
      <c r="J15" s="28">
        <f>$B$5</f>
        <v>1.3</v>
      </c>
      <c r="K15" s="19" t="str">
        <f>IF(I15="","",I15-J15)</f>
        <v/>
      </c>
      <c r="L15" s="60" t="s">
        <v>274</v>
      </c>
      <c r="M15" s="20">
        <f>IF(AND(A15&gt;=Inputs!$B$9,A15&lt;Inputs!$B$9+MIN($B$7,Inputs!$B$35)),1,0)</f>
        <v>0</v>
      </c>
      <c r="N15" s="25">
        <f>M15*Cashflow!N6/$B$5</f>
        <v>0</v>
      </c>
      <c r="O15" s="21">
        <f>1/(1+$B$6)^(A15-(Inputs!$B$9-1))</f>
        <v>1</v>
      </c>
    </row>
    <row r="16" spans="1:15" ht="15" customHeight="1">
      <c r="A16" s="60">
        <v>2028</v>
      </c>
      <c r="B16" s="25">
        <f>Cashflow!F7</f>
        <v>10025640</v>
      </c>
      <c r="C16" s="25">
        <f>H15</f>
        <v>71421307.791443959</v>
      </c>
      <c r="D16" s="25">
        <f>IF(A16=Inputs!$B$9-1,$B$8,0)</f>
        <v>0</v>
      </c>
      <c r="E16" s="25">
        <f>C16*$B$6</f>
        <v>4106725.1980080279</v>
      </c>
      <c r="F16" s="25">
        <f>IF(M16=1,N16*$G$7-E16,0)</f>
        <v>3605305.5712227412</v>
      </c>
      <c r="G16" s="25">
        <f>E16+F16</f>
        <v>7712030.769230769</v>
      </c>
      <c r="H16" s="25">
        <f>C16+D16-F16</f>
        <v>67816002.220221221</v>
      </c>
      <c r="I16" s="28">
        <f>IF(ABS(G16)&lt;0.5,"",B16/G16)</f>
        <v>1.3</v>
      </c>
      <c r="J16" s="28">
        <f>$B$5</f>
        <v>1.3</v>
      </c>
      <c r="K16" s="19">
        <f>IF(I16="","",I16-J16)</f>
        <v>0</v>
      </c>
      <c r="L16" s="60" t="s">
        <v>274</v>
      </c>
      <c r="M16" s="20">
        <f>IF(AND(A16&gt;=Inputs!$B$9,A16&lt;Inputs!$B$9+MIN($B$7,Inputs!$B$35)),1,0)</f>
        <v>1</v>
      </c>
      <c r="N16" s="25">
        <f>M16*Cashflow!N7/$B$5</f>
        <v>7712030.769230769</v>
      </c>
      <c r="O16" s="21">
        <f>1/(1+$B$6)^(A16-(Inputs!$B$9-1))</f>
        <v>0.94562647754137108</v>
      </c>
    </row>
    <row r="17" spans="1:15" ht="15" customHeight="1">
      <c r="A17" s="60">
        <v>2029</v>
      </c>
      <c r="B17" s="25">
        <f>Cashflow!F8</f>
        <v>9894184.8000000007</v>
      </c>
      <c r="C17" s="25">
        <f>H16</f>
        <v>67816002.220221221</v>
      </c>
      <c r="D17" s="25">
        <f>IF(A17=Inputs!$B$9-1,$B$8,0)</f>
        <v>0</v>
      </c>
      <c r="E17" s="25">
        <f>C17*$B$6</f>
        <v>3899420.1276627206</v>
      </c>
      <c r="F17" s="25">
        <f>IF(M17=1,N17*$G$7-E17,0)</f>
        <v>3711491.2569526643</v>
      </c>
      <c r="G17" s="25">
        <f>E17+F17</f>
        <v>7610911.384615385</v>
      </c>
      <c r="H17" s="25">
        <f>C17+D17-F17</f>
        <v>64104510.963268556</v>
      </c>
      <c r="I17" s="28">
        <f>IF(ABS(G17)&lt;0.5,"",B17/G17)</f>
        <v>1.3</v>
      </c>
      <c r="J17" s="28">
        <f>$B$5</f>
        <v>1.3</v>
      </c>
      <c r="K17" s="19">
        <f>IF(I17="","",I17-J17)</f>
        <v>0</v>
      </c>
      <c r="L17" s="60" t="s">
        <v>274</v>
      </c>
      <c r="M17" s="20">
        <f>IF(AND(A17&gt;=Inputs!$B$9,A17&lt;Inputs!$B$9+MIN($B$7,Inputs!$B$35)),1,0)</f>
        <v>1</v>
      </c>
      <c r="N17" s="25">
        <f>M17*Cashflow!N8/$B$5</f>
        <v>7610911.384615385</v>
      </c>
      <c r="O17" s="21">
        <f>1/(1+$B$6)^(A17-(Inputs!$B$9-1))</f>
        <v>0.8942094350273011</v>
      </c>
    </row>
    <row r="18" spans="1:15" ht="15" customHeight="1">
      <c r="A18" s="60">
        <v>2030</v>
      </c>
      <c r="B18" s="25">
        <f>Cashflow!F9</f>
        <v>9800798.4959999993</v>
      </c>
      <c r="C18" s="25">
        <f>H17</f>
        <v>64104510.963268556</v>
      </c>
      <c r="D18" s="25">
        <f>IF(A18=Inputs!$B$9-1,$B$8,0)</f>
        <v>0</v>
      </c>
      <c r="E18" s="25">
        <f>C18*$B$6</f>
        <v>3686009.3803879423</v>
      </c>
      <c r="F18" s="25">
        <f>IF(M18=1,N18*$G$7-E18,0)</f>
        <v>3853066.3857659027</v>
      </c>
      <c r="G18" s="25">
        <f>E18+F18</f>
        <v>7539075.766153845</v>
      </c>
      <c r="H18" s="25">
        <f>C18+D18-F18</f>
        <v>60251444.577502653</v>
      </c>
      <c r="I18" s="28">
        <f>IF(ABS(G18)&lt;0.5,"",B18/G18)</f>
        <v>1.3</v>
      </c>
      <c r="J18" s="28">
        <f>$B$5</f>
        <v>1.3</v>
      </c>
      <c r="K18" s="19">
        <f>IF(I18="","",I18-J18)</f>
        <v>0</v>
      </c>
      <c r="L18" s="60" t="s">
        <v>274</v>
      </c>
      <c r="M18" s="20">
        <f>IF(AND(A18&gt;=Inputs!$B$9,A18&lt;Inputs!$B$9+MIN($B$7,Inputs!$B$35)),1,0)</f>
        <v>1</v>
      </c>
      <c r="N18" s="25">
        <f>M18*Cashflow!N9/$B$5</f>
        <v>7539075.766153845</v>
      </c>
      <c r="O18" s="21">
        <f>1/(1+$B$6)^(A18-(Inputs!$B$9-1))</f>
        <v>0.84558811822912627</v>
      </c>
    </row>
    <row r="19" spans="1:15" ht="15" customHeight="1">
      <c r="A19" s="60">
        <v>2031</v>
      </c>
      <c r="B19" s="25">
        <f>Cashflow!F10</f>
        <v>9705544.4659199994</v>
      </c>
      <c r="C19" s="25">
        <f>H18</f>
        <v>60251444.577502653</v>
      </c>
      <c r="D19" s="25">
        <f>IF(A19=Inputs!$B$9-1,$B$8,0)</f>
        <v>0</v>
      </c>
      <c r="E19" s="25">
        <f>C19*$B$6</f>
        <v>3464458.0632064026</v>
      </c>
      <c r="F19" s="25">
        <f>IF(M19=1,N19*$G$7-E19,0)</f>
        <v>4001345.3721166737</v>
      </c>
      <c r="G19" s="25">
        <f>E19+F19</f>
        <v>7465803.4353230763</v>
      </c>
      <c r="H19" s="25">
        <f>C19+D19-F19</f>
        <v>56250099.205385983</v>
      </c>
      <c r="I19" s="28">
        <f>IF(ABS(G19)&lt;0.5,"",B19/G19)</f>
        <v>1.3</v>
      </c>
      <c r="J19" s="28">
        <f>$B$5</f>
        <v>1.3</v>
      </c>
      <c r="K19" s="19">
        <f>IF(I19="","",I19-J19)</f>
        <v>0</v>
      </c>
      <c r="L19" s="60" t="s">
        <v>274</v>
      </c>
      <c r="M19" s="20">
        <f>IF(AND(A19&gt;=Inputs!$B$9,A19&lt;Inputs!$B$9+MIN($B$7,Inputs!$B$35)),1,0)</f>
        <v>1</v>
      </c>
      <c r="N19" s="25">
        <f>M19*Cashflow!N10/$B$5</f>
        <v>7465803.4353230763</v>
      </c>
      <c r="O19" s="21">
        <f>1/(1+$B$6)^(A19-(Inputs!$B$9-1))</f>
        <v>0.7996105136918451</v>
      </c>
    </row>
    <row r="20" spans="1:15" ht="15" customHeight="1">
      <c r="A20" s="60">
        <v>2032</v>
      </c>
      <c r="B20" s="25">
        <f>Cashflow!F11</f>
        <v>9648285.3552384004</v>
      </c>
      <c r="C20" s="25">
        <f>H19</f>
        <v>56250099.205385983</v>
      </c>
      <c r="D20" s="25">
        <f>IF(A20=Inputs!$B$9-1,$B$8,0)</f>
        <v>0</v>
      </c>
      <c r="E20" s="25">
        <f>C20*$B$6</f>
        <v>3234380.704309694</v>
      </c>
      <c r="F20" s="25">
        <f>IF(M20=1,N20*$G$7-E20,0)</f>
        <v>4187377.2612583064</v>
      </c>
      <c r="G20" s="25">
        <f>E20+F20</f>
        <v>7421757.9655680005</v>
      </c>
      <c r="H20" s="25">
        <f>C20+D20-F20</f>
        <v>52062721.944127679</v>
      </c>
      <c r="I20" s="28">
        <f>IF(ABS(G20)&lt;0.5,"",B20/G20)</f>
        <v>1.3</v>
      </c>
      <c r="J20" s="28">
        <f>$B$5</f>
        <v>1.3</v>
      </c>
      <c r="K20" s="19">
        <f>IF(I20="","",I20-J20)</f>
        <v>0</v>
      </c>
      <c r="L20" s="60" t="s">
        <v>274</v>
      </c>
      <c r="M20" s="20">
        <f>IF(AND(A20&gt;=Inputs!$B$9,A20&lt;Inputs!$B$9+MIN($B$7,Inputs!$B$35)),1,0)</f>
        <v>1</v>
      </c>
      <c r="N20" s="25">
        <f>M20*Cashflow!N11/$B$5</f>
        <v>7421757.9655680005</v>
      </c>
      <c r="O20" s="21">
        <f>1/(1+$B$6)^(A20-(Inputs!$B$9-1))</f>
        <v>0.75613287346746572</v>
      </c>
    </row>
    <row r="21" spans="1:15" ht="15" customHeight="1">
      <c r="A21" s="60">
        <v>2033</v>
      </c>
      <c r="B21" s="25">
        <f>Cashflow!F12</f>
        <v>9509283.062343169</v>
      </c>
      <c r="C21" s="25">
        <f>H20</f>
        <v>52062721.944127679</v>
      </c>
      <c r="D21" s="25">
        <f>IF(A21=Inputs!$B$9-1,$B$8,0)</f>
        <v>0</v>
      </c>
      <c r="E21" s="25">
        <f>C21*$B$6</f>
        <v>2993606.5117873414</v>
      </c>
      <c r="F21" s="25">
        <f>IF(M21=1,N21*$G$7-E21,0)</f>
        <v>4321226.6130920183</v>
      </c>
      <c r="G21" s="25">
        <f>E21+F21</f>
        <v>7314833.1248793602</v>
      </c>
      <c r="H21" s="25">
        <f>C21+D21-F21</f>
        <v>47741495.331035659</v>
      </c>
      <c r="I21" s="28">
        <f>IF(ABS(G21)&lt;0.5,"",B21/G21)</f>
        <v>1.3</v>
      </c>
      <c r="J21" s="28">
        <f>$B$5</f>
        <v>1.3</v>
      </c>
      <c r="K21" s="19">
        <f>IF(I21="","",I21-J21)</f>
        <v>0</v>
      </c>
      <c r="L21" s="60" t="s">
        <v>274</v>
      </c>
      <c r="M21" s="20">
        <f>IF(AND(A21&gt;=Inputs!$B$9,A21&lt;Inputs!$B$9+MIN($B$7,Inputs!$B$35)),1,0)</f>
        <v>1</v>
      </c>
      <c r="N21" s="25">
        <f>M21*Cashflow!N12/$B$5</f>
        <v>7314833.1248793602</v>
      </c>
      <c r="O21" s="21">
        <f>1/(1+$B$6)^(A21-(Inputs!$B$9-1))</f>
        <v>0.71501926569027474</v>
      </c>
    </row>
    <row r="22" spans="1:15" ht="15" customHeight="1">
      <c r="A22" s="60">
        <v>2034</v>
      </c>
      <c r="B22" s="25">
        <f>Cashflow!F13</f>
        <v>9408198.7235900313</v>
      </c>
      <c r="C22" s="25">
        <f>H21</f>
        <v>47741495.331035659</v>
      </c>
      <c r="D22" s="25">
        <f>IF(A22=Inputs!$B$9-1,$B$8,0)</f>
        <v>0</v>
      </c>
      <c r="E22" s="25">
        <f>C22*$B$6</f>
        <v>2745135.9815345504</v>
      </c>
      <c r="F22" s="25">
        <f>IF(M22=1,N22*$G$7-E22,0)</f>
        <v>4491939.9596885499</v>
      </c>
      <c r="G22" s="25">
        <f>E22+F22</f>
        <v>7237075.9412230998</v>
      </c>
      <c r="H22" s="25">
        <f>C22+D22-F22</f>
        <v>43249555.371347107</v>
      </c>
      <c r="I22" s="28">
        <f>IF(ABS(G22)&lt;0.5,"",B22/G22)</f>
        <v>1.3000000000000003</v>
      </c>
      <c r="J22" s="28">
        <f>$B$5</f>
        <v>1.3</v>
      </c>
      <c r="K22" s="19">
        <f>IF(I22="","",I22-J22)</f>
        <v>2.2204460492503131E-16</v>
      </c>
      <c r="L22" s="60" t="s">
        <v>274</v>
      </c>
      <c r="M22" s="20">
        <f>IF(AND(A22&gt;=Inputs!$B$9,A22&lt;Inputs!$B$9+MIN($B$7,Inputs!$B$35)),1,0)</f>
        <v>1</v>
      </c>
      <c r="N22" s="25">
        <f>M22*Cashflow!N13/$B$5</f>
        <v>7237075.9412231008</v>
      </c>
      <c r="O22" s="21">
        <f>1/(1+$B$6)^(A22-(Inputs!$B$9-1))</f>
        <v>0.67614114958891225</v>
      </c>
    </row>
    <row r="23" spans="1:15" ht="15" customHeight="1">
      <c r="A23" s="60">
        <v>2035</v>
      </c>
      <c r="B23" s="25">
        <f>Cashflow!F14</f>
        <v>9305092.6980618313</v>
      </c>
      <c r="C23" s="25">
        <f>H22</f>
        <v>43249555.371347107</v>
      </c>
      <c r="D23" s="25">
        <f>IF(A23=Inputs!$B$9-1,$B$8,0)</f>
        <v>0</v>
      </c>
      <c r="E23" s="25">
        <f>C23*$B$6</f>
        <v>2486849.4338524588</v>
      </c>
      <c r="F23" s="25">
        <f>IF(M23=1,N23*$G$7-E23,0)</f>
        <v>4670914.1800412573</v>
      </c>
      <c r="G23" s="25">
        <f>E23+F23</f>
        <v>7157763.6138937157</v>
      </c>
      <c r="H23" s="25">
        <f>C23+D23-F23</f>
        <v>38578641.191305846</v>
      </c>
      <c r="I23" s="28">
        <f>IF(ABS(G23)&lt;0.5,"",B23/G23)</f>
        <v>1.3</v>
      </c>
      <c r="J23" s="28">
        <f>$B$5</f>
        <v>1.3</v>
      </c>
      <c r="K23" s="19">
        <f>IF(I23="","",I23-J23)</f>
        <v>0</v>
      </c>
      <c r="L23" s="60" t="s">
        <v>274</v>
      </c>
      <c r="M23" s="20">
        <f>IF(AND(A23&gt;=Inputs!$B$9,A23&lt;Inputs!$B$9+MIN($B$7,Inputs!$B$35)),1,0)</f>
        <v>1</v>
      </c>
      <c r="N23" s="25">
        <f>M23*Cashflow!N14/$B$5</f>
        <v>7157763.6138937166</v>
      </c>
      <c r="O23" s="21">
        <f>1/(1+$B$6)^(A23-(Inputs!$B$9-1))</f>
        <v>0.63937697360653634</v>
      </c>
    </row>
    <row r="24" spans="1:15" ht="15" customHeight="1">
      <c r="A24" s="60">
        <v>2036</v>
      </c>
      <c r="B24" s="25">
        <f>Cashflow!F15</f>
        <v>9239824.5520230681</v>
      </c>
      <c r="C24" s="25">
        <f>H23</f>
        <v>38578641.191305846</v>
      </c>
      <c r="D24" s="25">
        <f>IF(A24=Inputs!$B$9-1,$B$8,0)</f>
        <v>0</v>
      </c>
      <c r="E24" s="25">
        <f>C24*$B$6</f>
        <v>2218271.868500086</v>
      </c>
      <c r="F24" s="25">
        <f>IF(M24=1,N24*$G$7-E24,0)</f>
        <v>4889285.479209967</v>
      </c>
      <c r="G24" s="25">
        <f>E24+F24</f>
        <v>7107557.3477100525</v>
      </c>
      <c r="H24" s="25">
        <f>C24+D24-F24</f>
        <v>33689355.712095879</v>
      </c>
      <c r="I24" s="28">
        <f>IF(ABS(G24)&lt;0.5,"",B24/G24)</f>
        <v>1.3</v>
      </c>
      <c r="J24" s="28">
        <f>$B$5</f>
        <v>1.3</v>
      </c>
      <c r="K24" s="19">
        <f>IF(I24="","",I24-J24)</f>
        <v>0</v>
      </c>
      <c r="L24" s="60" t="s">
        <v>274</v>
      </c>
      <c r="M24" s="20">
        <f>IF(AND(A24&gt;=Inputs!$B$9,A24&lt;Inputs!$B$9+MIN($B$7,Inputs!$B$35)),1,0)</f>
        <v>1</v>
      </c>
      <c r="N24" s="25">
        <f>M24*Cashflow!N15/$B$5</f>
        <v>7107557.3477100525</v>
      </c>
      <c r="O24" s="21">
        <f>1/(1+$B$6)^(A24-(Inputs!$B$9-1))</f>
        <v>0.60461179537261112</v>
      </c>
    </row>
    <row r="25" spans="1:15" ht="15" customHeight="1">
      <c r="A25" s="60">
        <v>2037</v>
      </c>
      <c r="B25" s="25">
        <f>Cashflow!F16</f>
        <v>9092653.0430635326</v>
      </c>
      <c r="C25" s="25">
        <f>H24</f>
        <v>33689355.712095879</v>
      </c>
      <c r="D25" s="25">
        <f>IF(A25=Inputs!$B$9-1,$B$8,0)</f>
        <v>0</v>
      </c>
      <c r="E25" s="25">
        <f>C25*$B$6</f>
        <v>1937137.953445513</v>
      </c>
      <c r="F25" s="25">
        <f>IF(M25=1,N25*$G$7-E25,0)</f>
        <v>5057210.5412187427</v>
      </c>
      <c r="G25" s="25">
        <f>E25+F25</f>
        <v>6994348.4946642555</v>
      </c>
      <c r="H25" s="25">
        <f>C25+D25-F25</f>
        <v>28632145.170877136</v>
      </c>
      <c r="I25" s="28">
        <f>IF(ABS(G25)&lt;0.5,"",B25/G25)</f>
        <v>1.3</v>
      </c>
      <c r="J25" s="28">
        <f>$B$5</f>
        <v>1.3</v>
      </c>
      <c r="K25" s="19">
        <f>IF(I25="","",I25-J25)</f>
        <v>0</v>
      </c>
      <c r="L25" s="60" t="s">
        <v>274</v>
      </c>
      <c r="M25" s="20">
        <f>IF(AND(A25&gt;=Inputs!$B$9,A25&lt;Inputs!$B$9+MIN($B$7,Inputs!$B$35)),1,0)</f>
        <v>1</v>
      </c>
      <c r="N25" s="25">
        <f>M25*Cashflow!N16/$B$5</f>
        <v>6994348.4946642555</v>
      </c>
      <c r="O25" s="21">
        <f>1/(1+$B$6)^(A25-(Inputs!$B$9-1))</f>
        <v>0.57173692233816642</v>
      </c>
    </row>
    <row r="26" spans="1:15" ht="15" customHeight="1">
      <c r="A26" s="60">
        <v>2038</v>
      </c>
      <c r="B26" s="25">
        <f>Cashflow!F17</f>
        <v>8983236.1039248016</v>
      </c>
      <c r="C26" s="25">
        <f>H25</f>
        <v>28632145.170877136</v>
      </c>
      <c r="D26" s="25">
        <f>IF(A26=Inputs!$B$9-1,$B$8,0)</f>
        <v>0</v>
      </c>
      <c r="E26" s="25">
        <f>C26*$B$6</f>
        <v>1646348.3473254354</v>
      </c>
      <c r="F26" s="25">
        <f>IF(M26=1,N26*$G$7-E26,0)</f>
        <v>5263833.2710782588</v>
      </c>
      <c r="G26" s="25">
        <f>E26+F26</f>
        <v>6910181.6184036937</v>
      </c>
      <c r="H26" s="25">
        <f>C26+D26-F26</f>
        <v>23368311.899798878</v>
      </c>
      <c r="I26" s="28">
        <f>IF(ABS(G26)&lt;0.5,"",B26/G26)</f>
        <v>1.3</v>
      </c>
      <c r="J26" s="28">
        <f>$B$5</f>
        <v>1.3</v>
      </c>
      <c r="K26" s="19">
        <f>IF(I26="","",I26-J26)</f>
        <v>0</v>
      </c>
      <c r="L26" s="60" t="s">
        <v>274</v>
      </c>
      <c r="M26" s="20">
        <f>IF(AND(A26&gt;=Inputs!$B$9,A26&lt;Inputs!$B$9+MIN($B$7,Inputs!$B$35)),1,0)</f>
        <v>1</v>
      </c>
      <c r="N26" s="25">
        <f>M26*Cashflow!N17/$B$5</f>
        <v>6910181.6184036937</v>
      </c>
      <c r="O26" s="21">
        <f>1/(1+$B$6)^(A26-(Inputs!$B$9-1))</f>
        <v>0.54064957195098473</v>
      </c>
    </row>
    <row r="27" spans="1:15" ht="15" customHeight="1">
      <c r="A27" s="60">
        <v>2039</v>
      </c>
      <c r="B27" s="25">
        <f>Cashflow!F18</f>
        <v>8871630.8260032963</v>
      </c>
      <c r="C27" s="25">
        <f>H26</f>
        <v>23368311.899798878</v>
      </c>
      <c r="D27" s="25">
        <f>IF(A27=Inputs!$B$9-1,$B$8,0)</f>
        <v>0</v>
      </c>
      <c r="E27" s="25">
        <f>C27*$B$6</f>
        <v>1343677.9342384355</v>
      </c>
      <c r="F27" s="25">
        <f>IF(M27=1,N27*$G$7-E27,0)</f>
        <v>5480653.4703794839</v>
      </c>
      <c r="G27" s="25">
        <f>E27+F27</f>
        <v>6824331.4046179196</v>
      </c>
      <c r="H27" s="25">
        <f>C27+D27-F27</f>
        <v>17887658.429419395</v>
      </c>
      <c r="I27" s="28">
        <f>IF(ABS(G27)&lt;0.5,"",B27/G27)</f>
        <v>1.3</v>
      </c>
      <c r="J27" s="28">
        <f>$B$5</f>
        <v>1.3</v>
      </c>
      <c r="K27" s="19">
        <f>IF(I27="","",I27-J27)</f>
        <v>0</v>
      </c>
      <c r="L27" s="60" t="s">
        <v>274</v>
      </c>
      <c r="M27" s="20">
        <f>IF(AND(A27&gt;=Inputs!$B$9,A27&lt;Inputs!$B$9+MIN($B$7,Inputs!$B$35)),1,0)</f>
        <v>1</v>
      </c>
      <c r="N27" s="25">
        <f>M27*Cashflow!N18/$B$5</f>
        <v>6824331.4046179196</v>
      </c>
      <c r="O27" s="21">
        <f>1/(1+$B$6)^(A27-(Inputs!$B$9-1))</f>
        <v>0.51125255030825978</v>
      </c>
    </row>
    <row r="28" spans="1:15" ht="15" customHeight="1">
      <c r="A28" s="60">
        <v>2040</v>
      </c>
      <c r="B28" s="25">
        <f>Cashflow!F19</f>
        <v>8797693.442523364</v>
      </c>
      <c r="C28" s="25">
        <f>H27</f>
        <v>17887658.429419395</v>
      </c>
      <c r="D28" s="25">
        <f>IF(A28=Inputs!$B$9-1,$B$8,0)</f>
        <v>0</v>
      </c>
      <c r="E28" s="25">
        <f>C28*$B$6</f>
        <v>1028540.3596916152</v>
      </c>
      <c r="F28" s="25">
        <f>IF(M28=1,N28*$G$7-E28,0)</f>
        <v>5738916.1345571261</v>
      </c>
      <c r="G28" s="25">
        <f>E28+F28</f>
        <v>6767456.4942487413</v>
      </c>
      <c r="H28" s="25">
        <f>C28+D28-F28</f>
        <v>12148742.294862268</v>
      </c>
      <c r="I28" s="28">
        <f>IF(ABS(G28)&lt;0.5,"",B28/G28)</f>
        <v>1.3</v>
      </c>
      <c r="J28" s="28">
        <f>$B$5</f>
        <v>1.3</v>
      </c>
      <c r="K28" s="19">
        <f>IF(I28="","",I28-J28)</f>
        <v>0</v>
      </c>
      <c r="L28" s="60" t="s">
        <v>274</v>
      </c>
      <c r="M28" s="20">
        <f>IF(AND(A28&gt;=Inputs!$B$9,A28&lt;Inputs!$B$9+MIN($B$7,Inputs!$B$35)),1,0)</f>
        <v>1</v>
      </c>
      <c r="N28" s="25">
        <f>M28*Cashflow!N19/$B$5</f>
        <v>6767456.4942487413</v>
      </c>
      <c r="O28" s="21">
        <f>1/(1+$B$6)^(A28-(Inputs!$B$9-1))</f>
        <v>0.4834539482820423</v>
      </c>
    </row>
    <row r="29" spans="1:15" ht="15" customHeight="1">
      <c r="A29" s="60">
        <v>2041</v>
      </c>
      <c r="B29" s="25">
        <f>Cashflow!F20</f>
        <v>8641679.3113738317</v>
      </c>
      <c r="C29" s="25">
        <f>H28</f>
        <v>12148742.294862268</v>
      </c>
      <c r="D29" s="25">
        <f>IF(A29=Inputs!$B$9-1,$B$8,0)</f>
        <v>0</v>
      </c>
      <c r="E29" s="25">
        <f>C29*$B$6</f>
        <v>698552.68195458048</v>
      </c>
      <c r="F29" s="25">
        <f>IF(M29=1,N29*$G$7-E29,0)</f>
        <v>5948892.942179136</v>
      </c>
      <c r="G29" s="25">
        <f>E29+F29</f>
        <v>6647445.6241337163</v>
      </c>
      <c r="H29" s="25">
        <f>C29+D29-F29</f>
        <v>6199849.3526831325</v>
      </c>
      <c r="I29" s="28">
        <f>IF(ABS(G29)&lt;0.5,"",B29/G29)</f>
        <v>1.3</v>
      </c>
      <c r="J29" s="28">
        <f>$B$5</f>
        <v>1.3</v>
      </c>
      <c r="K29" s="19">
        <f>IF(I29="","",I29-J29)</f>
        <v>0</v>
      </c>
      <c r="L29" s="60" t="s">
        <v>274</v>
      </c>
      <c r="M29" s="20">
        <f>IF(AND(A29&gt;=Inputs!$B$9,A29&lt;Inputs!$B$9+MIN($B$7,Inputs!$B$35)),1,0)</f>
        <v>1</v>
      </c>
      <c r="N29" s="25">
        <f>M29*Cashflow!N20/$B$5</f>
        <v>6647445.6241337163</v>
      </c>
      <c r="O29" s="21">
        <f>1/(1+$B$6)^(A29-(Inputs!$B$9-1))</f>
        <v>0.45716685416741581</v>
      </c>
    </row>
    <row r="30" spans="1:15" ht="15" customHeight="1">
      <c r="A30" s="60">
        <v>2042</v>
      </c>
      <c r="B30" s="25">
        <f>Cashflow!F21</f>
        <v>8523242.8976013064</v>
      </c>
      <c r="C30" s="25">
        <f>H29</f>
        <v>6199849.3526831325</v>
      </c>
      <c r="D30" s="25">
        <f>IF(A30=Inputs!$B$9-1,$B$8,0)</f>
        <v>0</v>
      </c>
      <c r="E30" s="25">
        <f>C30*$B$6</f>
        <v>356491.33777928015</v>
      </c>
      <c r="F30" s="25">
        <f>IF(M30=1,N30*$G$7-E30,0)</f>
        <v>6199849.3526832638</v>
      </c>
      <c r="G30" s="25">
        <f>E30+F30</f>
        <v>6556340.6904625436</v>
      </c>
      <c r="H30" s="25">
        <f>C30+D30-F30</f>
        <v>-1.3131648302078247E-7</v>
      </c>
      <c r="I30" s="28">
        <f>IF(ABS(G30)&lt;0.5,"",B30/G30)</f>
        <v>1.3</v>
      </c>
      <c r="J30" s="28">
        <f>$B$5</f>
        <v>1.3</v>
      </c>
      <c r="K30" s="19">
        <f>IF(I30="","",I30-J30)</f>
        <v>0</v>
      </c>
      <c r="L30" s="60" t="s">
        <v>274</v>
      </c>
      <c r="M30" s="20">
        <f>IF(AND(A30&gt;=Inputs!$B$9,A30&lt;Inputs!$B$9+MIN($B$7,Inputs!$B$35)),1,0)</f>
        <v>1</v>
      </c>
      <c r="N30" s="25">
        <f>M30*Cashflow!N21/$B$5</f>
        <v>6556340.6904625436</v>
      </c>
      <c r="O30" s="21">
        <f>1/(1+$B$6)^(A30-(Inputs!$B$9-1))</f>
        <v>0.43230908195500312</v>
      </c>
    </row>
    <row r="31" spans="1:15" ht="15" customHeight="1">
      <c r="A31" s="60">
        <v>2043</v>
      </c>
      <c r="B31" s="25">
        <f>Cashflow!F22</f>
        <v>4004149.2375769876</v>
      </c>
      <c r="C31" s="25">
        <f>H30</f>
        <v>-1.3131648302078247E-7</v>
      </c>
      <c r="D31" s="25">
        <f>IF(A31=Inputs!$B$9-1,$B$8,0)</f>
        <v>0</v>
      </c>
      <c r="E31" s="25">
        <f>C31*$B$6</f>
        <v>-7.550697773694992E-9</v>
      </c>
      <c r="F31" s="25">
        <f>IF(M31=1,N31*$G$7-E31,0)</f>
        <v>0</v>
      </c>
      <c r="G31" s="25">
        <f>E31+F31</f>
        <v>-7.550697773694992E-9</v>
      </c>
      <c r="H31" s="25">
        <f>C31+D31-F31</f>
        <v>-1.3131648302078247E-7</v>
      </c>
      <c r="I31" s="28" t="str">
        <f>IF(ABS(G31)&lt;0.5,"",B31/G31)</f>
        <v/>
      </c>
      <c r="J31" s="28">
        <f>$B$5</f>
        <v>1.3</v>
      </c>
      <c r="K31" s="19" t="str">
        <f>IF(I31="","",I31-J31)</f>
        <v/>
      </c>
      <c r="L31" s="60" t="s">
        <v>274</v>
      </c>
      <c r="M31" s="20">
        <f>IF(AND(A31&gt;=Inputs!$B$9,A31&lt;Inputs!$B$9+MIN($B$7,Inputs!$B$35)),1,0)</f>
        <v>0</v>
      </c>
      <c r="N31" s="25">
        <f>M31*Cashflow!N22/$B$5</f>
        <v>0</v>
      </c>
      <c r="O31" s="21">
        <f>1/(1+$B$6)^(A31-(Inputs!$B$9-1))</f>
        <v>0.40880291437825339</v>
      </c>
    </row>
    <row r="32" spans="1:15" ht="15" customHeight="1">
      <c r="A32" s="60">
        <v>2044</v>
      </c>
      <c r="B32" s="25">
        <f>Cashflow!F23</f>
        <v>4257805.5834021633</v>
      </c>
      <c r="C32" s="25">
        <f>H31</f>
        <v>-1.3131648302078247E-7</v>
      </c>
      <c r="D32" s="25">
        <f>IF(A32=Inputs!$B$9-1,$B$8,0)</f>
        <v>0</v>
      </c>
      <c r="E32" s="25">
        <f>C32*$B$6</f>
        <v>-7.550697773694992E-9</v>
      </c>
      <c r="F32" s="25">
        <f>IF(M32=1,N32*$G$7-E32,0)</f>
        <v>0</v>
      </c>
      <c r="G32" s="25">
        <f>E32+F32</f>
        <v>-7.550697773694992E-9</v>
      </c>
      <c r="H32" s="25">
        <f>C32+D32-F32</f>
        <v>-1.3131648302078247E-7</v>
      </c>
      <c r="I32" s="28" t="str">
        <f>IF(ABS(G32)&lt;0.5,"",B32/G32)</f>
        <v/>
      </c>
      <c r="J32" s="28">
        <f>$B$5</f>
        <v>1.3</v>
      </c>
      <c r="K32" s="19" t="str">
        <f>IF(I32="","",I32-J32)</f>
        <v/>
      </c>
      <c r="L32" s="60" t="s">
        <v>274</v>
      </c>
      <c r="M32" s="20">
        <f>IF(AND(A32&gt;=Inputs!$B$9,A32&lt;Inputs!$B$9+MIN($B$7,Inputs!$B$35)),1,0)</f>
        <v>0</v>
      </c>
      <c r="N32" s="25">
        <f>M32*Cashflow!N23/$B$5</f>
        <v>0</v>
      </c>
      <c r="O32" s="21">
        <f>1/(1+$B$6)^(A32-(Inputs!$B$9-1))</f>
        <v>0.38657485993215446</v>
      </c>
    </row>
    <row r="33" spans="1:15" ht="15" customHeight="1">
      <c r="A33" s="60">
        <v>2045</v>
      </c>
      <c r="B33" s="25">
        <f>Cashflow!F24</f>
        <v>4461247.3383697299</v>
      </c>
      <c r="C33" s="25">
        <f>H32</f>
        <v>-1.3131648302078247E-7</v>
      </c>
      <c r="D33" s="25">
        <f>IF(A33=Inputs!$B$9-1,$B$8,0)</f>
        <v>0</v>
      </c>
      <c r="E33" s="25">
        <f>C33*$B$6</f>
        <v>-7.550697773694992E-9</v>
      </c>
      <c r="F33" s="25">
        <f>IF(M33=1,N33*$G$7-E33,0)</f>
        <v>0</v>
      </c>
      <c r="G33" s="25">
        <f>E33+F33</f>
        <v>-7.550697773694992E-9</v>
      </c>
      <c r="H33" s="25">
        <f>C33+D33-F33</f>
        <v>-1.3131648302078247E-7</v>
      </c>
      <c r="I33" s="28" t="str">
        <f>IF(ABS(G33)&lt;0.5,"",B33/G33)</f>
        <v/>
      </c>
      <c r="J33" s="28">
        <f>$B$5</f>
        <v>1.3</v>
      </c>
      <c r="K33" s="19" t="str">
        <f>IF(I33="","",I33-J33)</f>
        <v/>
      </c>
      <c r="L33" s="60" t="s">
        <v>274</v>
      </c>
      <c r="M33" s="20">
        <f>IF(AND(A33&gt;=Inputs!$B$9,A33&lt;Inputs!$B$9+MIN($B$7,Inputs!$B$35)),1,0)</f>
        <v>0</v>
      </c>
      <c r="N33" s="25">
        <f>M33*Cashflow!N24/$B$5</f>
        <v>0</v>
      </c>
      <c r="O33" s="21">
        <f>1/(1+$B$6)^(A33-(Inputs!$B$9-1))</f>
        <v>0.36555542310369216</v>
      </c>
    </row>
    <row r="34" spans="1:15" ht="15" customHeight="1">
      <c r="A34" s="60">
        <v>2046</v>
      </c>
      <c r="B34" s="25">
        <f>Cashflow!F25</f>
        <v>4701090.8256503856</v>
      </c>
      <c r="C34" s="25">
        <f>H33</f>
        <v>-1.3131648302078247E-7</v>
      </c>
      <c r="D34" s="25">
        <f>IF(A34=Inputs!$B$9-1,$B$8,0)</f>
        <v>0</v>
      </c>
      <c r="E34" s="25">
        <f>C34*$B$6</f>
        <v>-7.550697773694992E-9</v>
      </c>
      <c r="F34" s="25">
        <f>IF(M34=1,N34*$G$7-E34,0)</f>
        <v>0</v>
      </c>
      <c r="G34" s="25">
        <f>E34+F34</f>
        <v>-7.550697773694992E-9</v>
      </c>
      <c r="H34" s="25">
        <f>C34+D34-F34</f>
        <v>-1.3131648302078247E-7</v>
      </c>
      <c r="I34" s="28" t="str">
        <f>IF(ABS(G34)&lt;0.5,"",B34/G34)</f>
        <v/>
      </c>
      <c r="J34" s="28">
        <f>$B$5</f>
        <v>1.3</v>
      </c>
      <c r="K34" s="19" t="str">
        <f>IF(I34="","",I34-J34)</f>
        <v/>
      </c>
      <c r="L34" s="60" t="s">
        <v>274</v>
      </c>
      <c r="M34" s="20">
        <f>IF(AND(A34&gt;=Inputs!$B$9,A34&lt;Inputs!$B$9+MIN($B$7,Inputs!$B$35)),1,0)</f>
        <v>0</v>
      </c>
      <c r="N34" s="25">
        <f>M34*Cashflow!N25/$B$5</f>
        <v>0</v>
      </c>
      <c r="O34" s="21">
        <f>1/(1+$B$6)^(A34-(Inputs!$B$9-1))</f>
        <v>0.34567888709568995</v>
      </c>
    </row>
    <row r="35" spans="1:15" ht="15" customHeight="1">
      <c r="A35" s="60">
        <v>2047</v>
      </c>
      <c r="B35" s="25">
        <f>Cashflow!F26</f>
        <v>4948743.5534869181</v>
      </c>
      <c r="C35" s="25">
        <f>H34</f>
        <v>-1.3131648302078247E-7</v>
      </c>
      <c r="D35" s="25">
        <f>IF(A35=Inputs!$B$9-1,$B$8,0)</f>
        <v>0</v>
      </c>
      <c r="E35" s="25">
        <f>C35*$B$6</f>
        <v>-7.550697773694992E-9</v>
      </c>
      <c r="F35" s="25">
        <f>IF(M35=1,N35*$G$7-E35,0)</f>
        <v>0</v>
      </c>
      <c r="G35" s="25">
        <f>E35+F35</f>
        <v>-7.550697773694992E-9</v>
      </c>
      <c r="H35" s="25">
        <f>C35+D35-F35</f>
        <v>-1.3131648302078247E-7</v>
      </c>
      <c r="I35" s="28" t="str">
        <f>IF(ABS(G35)&lt;0.5,"",B35/G35)</f>
        <v/>
      </c>
      <c r="J35" s="28">
        <f>$B$5</f>
        <v>1.3</v>
      </c>
      <c r="K35" s="19" t="str">
        <f>IF(I35="","",I35-J35)</f>
        <v/>
      </c>
      <c r="L35" s="60" t="s">
        <v>274</v>
      </c>
      <c r="M35" s="20">
        <f>IF(AND(A35&gt;=Inputs!$B$9,A35&lt;Inputs!$B$9+MIN($B$7,Inputs!$B$35)),1,0)</f>
        <v>0</v>
      </c>
      <c r="N35" s="25">
        <f>M35*Cashflow!N26/$B$5</f>
        <v>0</v>
      </c>
      <c r="O35" s="21">
        <f>1/(1+$B$6)^(A35-(Inputs!$B$9-1))</f>
        <v>0.32688310836471851</v>
      </c>
    </row>
    <row r="36" spans="1:15" ht="15" customHeight="1">
      <c r="A36" s="60">
        <v>2048</v>
      </c>
      <c r="B36" s="25">
        <f>Cashflow!F27</f>
        <v>5237317.1116560278</v>
      </c>
      <c r="C36" s="25">
        <f>H35</f>
        <v>-1.3131648302078247E-7</v>
      </c>
      <c r="D36" s="25">
        <f>IF(A36=Inputs!$B$9-1,$B$8,0)</f>
        <v>0</v>
      </c>
      <c r="E36" s="25">
        <f>C36*$B$6</f>
        <v>-7.550697773694992E-9</v>
      </c>
      <c r="F36" s="25">
        <f>IF(M36=1,N36*$G$7-E36,0)</f>
        <v>0</v>
      </c>
      <c r="G36" s="25">
        <f>E36+F36</f>
        <v>-7.550697773694992E-9</v>
      </c>
      <c r="H36" s="25">
        <f>C36+D36-F36</f>
        <v>-1.3131648302078247E-7</v>
      </c>
      <c r="I36" s="28" t="str">
        <f>IF(ABS(G36)&lt;0.5,"",B36/G36)</f>
        <v/>
      </c>
      <c r="J36" s="28">
        <f>$B$5</f>
        <v>1.3</v>
      </c>
      <c r="K36" s="19" t="str">
        <f>IF(I36="","",I36-J36)</f>
        <v/>
      </c>
      <c r="L36" s="60" t="s">
        <v>274</v>
      </c>
      <c r="M36" s="20">
        <f>IF(AND(A36&gt;=Inputs!$B$9,A36&lt;Inputs!$B$9+MIN($B$7,Inputs!$B$35)),1,0)</f>
        <v>0</v>
      </c>
      <c r="N36" s="25">
        <f>M36*Cashflow!N27/$B$5</f>
        <v>0</v>
      </c>
      <c r="O36" s="21">
        <f>1/(1+$B$6)^(A36-(Inputs!$B$9-1))</f>
        <v>0.3091093223307031</v>
      </c>
    </row>
    <row r="37" spans="1:15" ht="15" customHeight="1">
      <c r="A37" s="60">
        <v>2049</v>
      </c>
      <c r="B37" s="25">
        <f>Cashflow!F28</f>
        <v>5468347.9933297886</v>
      </c>
      <c r="C37" s="25">
        <f>H36</f>
        <v>-1.3131648302078247E-7</v>
      </c>
      <c r="D37" s="25">
        <f>IF(A37=Inputs!$B$9-1,$B$8,0)</f>
        <v>0</v>
      </c>
      <c r="E37" s="25">
        <f>C37*$B$6</f>
        <v>-7.550697773694992E-9</v>
      </c>
      <c r="F37" s="25">
        <f>IF(M37=1,N37*$G$7-E37,0)</f>
        <v>0</v>
      </c>
      <c r="G37" s="25">
        <f>E37+F37</f>
        <v>-7.550697773694992E-9</v>
      </c>
      <c r="H37" s="25">
        <f>C37+D37-F37</f>
        <v>-1.3131648302078247E-7</v>
      </c>
      <c r="I37" s="28" t="str">
        <f>IF(ABS(G37)&lt;0.5,"",B37/G37)</f>
        <v/>
      </c>
      <c r="J37" s="28">
        <f>$B$5</f>
        <v>1.3</v>
      </c>
      <c r="K37" s="19" t="str">
        <f>IF(I37="","",I37-J37)</f>
        <v/>
      </c>
      <c r="L37" s="60" t="s">
        <v>274</v>
      </c>
      <c r="M37" s="20">
        <f>IF(AND(A37&gt;=Inputs!$B$9,A37&lt;Inputs!$B$9+MIN($B$7,Inputs!$B$35)),1,0)</f>
        <v>0</v>
      </c>
      <c r="N37" s="25">
        <f>M37*Cashflow!N28/$B$5</f>
        <v>0</v>
      </c>
      <c r="O37" s="21">
        <f>1/(1+$B$6)^(A37-(Inputs!$B$9-1))</f>
        <v>0.29230195965078304</v>
      </c>
    </row>
    <row r="38" spans="1:15" ht="15" customHeight="1">
      <c r="A38" s="60">
        <v>2050</v>
      </c>
      <c r="B38" s="25">
        <f>Cashflow!F29</f>
        <v>5740749.3053402007</v>
      </c>
      <c r="C38" s="25">
        <f>H37</f>
        <v>-1.3131648302078247E-7</v>
      </c>
      <c r="D38" s="25">
        <f>IF(A38=Inputs!$B$9-1,$B$8,0)</f>
        <v>0</v>
      </c>
      <c r="E38" s="25">
        <f>C38*$B$6</f>
        <v>-7.550697773694992E-9</v>
      </c>
      <c r="F38" s="25">
        <f>IF(M38=1,N38*$G$7-E38,0)</f>
        <v>0</v>
      </c>
      <c r="G38" s="25">
        <f>E38+F38</f>
        <v>-7.550697773694992E-9</v>
      </c>
      <c r="H38" s="25">
        <f>C38+D38-F38</f>
        <v>-1.3131648302078247E-7</v>
      </c>
      <c r="I38" s="28" t="str">
        <f>IF(ABS(G38)&lt;0.5,"",B38/G38)</f>
        <v/>
      </c>
      <c r="J38" s="28">
        <f>$B$5</f>
        <v>1.3</v>
      </c>
      <c r="K38" s="19" t="str">
        <f>IF(I38="","",I38-J38)</f>
        <v/>
      </c>
      <c r="L38" s="60" t="s">
        <v>274</v>
      </c>
      <c r="M38" s="20">
        <f>IF(AND(A38&gt;=Inputs!$B$9,A38&lt;Inputs!$B$9+MIN($B$7,Inputs!$B$35)),1,0)</f>
        <v>0</v>
      </c>
      <c r="N38" s="25">
        <f>M38*Cashflow!N29/$B$5</f>
        <v>0</v>
      </c>
      <c r="O38" s="21">
        <f>1/(1+$B$6)^(A38-(Inputs!$B$9-1))</f>
        <v>0.27640847248300993</v>
      </c>
    </row>
    <row r="39" spans="1:15" ht="15" customHeight="1">
      <c r="A39" s="60">
        <v>2051</v>
      </c>
      <c r="B39" s="25">
        <f>Cashflow!F30</f>
        <v>5292434.0721640578</v>
      </c>
      <c r="C39" s="25">
        <f>H38</f>
        <v>-1.3131648302078247E-7</v>
      </c>
      <c r="D39" s="25">
        <f>IF(A39=Inputs!$B$9-1,$B$8,0)</f>
        <v>0</v>
      </c>
      <c r="E39" s="25">
        <f>C39*$B$6</f>
        <v>-7.550697773694992E-9</v>
      </c>
      <c r="F39" s="25">
        <f>IF(M39=1,N39*$G$7-E39,0)</f>
        <v>0</v>
      </c>
      <c r="G39" s="25">
        <f>E39+F39</f>
        <v>-7.550697773694992E-9</v>
      </c>
      <c r="H39" s="25">
        <f>C39+D39-F39</f>
        <v>-1.3131648302078247E-7</v>
      </c>
      <c r="I39" s="28" t="str">
        <f>IF(ABS(G39)&lt;0.5,"",B39/G39)</f>
        <v/>
      </c>
      <c r="J39" s="28">
        <f>$B$5</f>
        <v>1.3</v>
      </c>
      <c r="K39" s="19" t="str">
        <f>IF(I39="","",I39-J39)</f>
        <v/>
      </c>
      <c r="L39" s="60" t="s">
        <v>274</v>
      </c>
      <c r="M39" s="20">
        <f>IF(AND(A39&gt;=Inputs!$B$9,A39&lt;Inputs!$B$9+MIN($B$7,Inputs!$B$35)),1,0)</f>
        <v>0</v>
      </c>
      <c r="N39" s="25">
        <f>M39*Cashflow!N30/$B$5</f>
        <v>0</v>
      </c>
      <c r="O39" s="21">
        <f>1/(1+$B$6)^(A39-(Inputs!$B$9-1))</f>
        <v>0.26137917019669965</v>
      </c>
    </row>
    <row r="40" spans="1:15" ht="15" customHeight="1">
      <c r="A40" s="60">
        <v>2052</v>
      </c>
      <c r="B40" s="25">
        <f>Cashflow!F31</f>
        <v>4818974.9235194372</v>
      </c>
      <c r="C40" s="25">
        <f>H39</f>
        <v>-1.3131648302078247E-7</v>
      </c>
      <c r="D40" s="25">
        <f>IF(A40=Inputs!$B$9-1,$B$8,0)</f>
        <v>0</v>
      </c>
      <c r="E40" s="25">
        <f>C40*$B$6</f>
        <v>-7.550697773694992E-9</v>
      </c>
      <c r="F40" s="25">
        <f>IF(M40=1,N40*$G$7-E40,0)</f>
        <v>0</v>
      </c>
      <c r="G40" s="25">
        <f>E40+F40</f>
        <v>-7.550697773694992E-9</v>
      </c>
      <c r="H40" s="25">
        <f>C40+D40-F40</f>
        <v>-1.3131648302078247E-7</v>
      </c>
      <c r="I40" s="28" t="str">
        <f>IF(ABS(G40)&lt;0.5,"",B40/G40)</f>
        <v/>
      </c>
      <c r="J40" s="28">
        <f>$B$5</f>
        <v>1.3</v>
      </c>
      <c r="K40" s="19" t="str">
        <f>IF(I40="","",I40-J40)</f>
        <v/>
      </c>
      <c r="L40" s="60" t="s">
        <v>274</v>
      </c>
      <c r="M40" s="20">
        <f>IF(AND(A40&gt;=Inputs!$B$9,A40&lt;Inputs!$B$9+MIN($B$7,Inputs!$B$35)),1,0)</f>
        <v>0</v>
      </c>
      <c r="N40" s="25">
        <f>M40*Cashflow!N31/$B$5</f>
        <v>0</v>
      </c>
      <c r="O40" s="21">
        <f>1/(1+$B$6)^(A40-(Inputs!$B$9-1))</f>
        <v>0.24716706401579161</v>
      </c>
    </row>
    <row r="41" spans="1:15" ht="15" customHeight="1">
      <c r="A41" s="60">
        <v>2053</v>
      </c>
      <c r="B41" s="25">
        <f>Cashflow!F32</f>
        <v>-1.5101395547389986E-9</v>
      </c>
      <c r="C41" s="25">
        <f>H40</f>
        <v>-1.3131648302078247E-7</v>
      </c>
      <c r="D41" s="25">
        <f>IF(A41=Inputs!$B$9-1,$B$8,0)</f>
        <v>0</v>
      </c>
      <c r="E41" s="25">
        <f>C41*$B$6</f>
        <v>-7.550697773694992E-9</v>
      </c>
      <c r="F41" s="25">
        <f>IF(M41=1,N41*$G$7-E41,0)</f>
        <v>0</v>
      </c>
      <c r="G41" s="25">
        <f>E41+F41</f>
        <v>-7.550697773694992E-9</v>
      </c>
      <c r="H41" s="25">
        <f>C41+D41-F41</f>
        <v>-1.3131648302078247E-7</v>
      </c>
      <c r="I41" s="28" t="str">
        <f>IF(ABS(G41)&lt;0.5,"",B41/G41)</f>
        <v/>
      </c>
      <c r="J41" s="28">
        <f>$B$5</f>
        <v>1.3</v>
      </c>
      <c r="K41" s="19" t="str">
        <f>IF(I41="","",I41-J41)</f>
        <v/>
      </c>
      <c r="L41" s="60" t="s">
        <v>274</v>
      </c>
      <c r="M41" s="20">
        <f>IF(AND(A41&gt;=Inputs!$B$9,A41&lt;Inputs!$B$9+MIN($B$7,Inputs!$B$35)),1,0)</f>
        <v>0</v>
      </c>
      <c r="N41" s="25">
        <f>M41*Cashflow!N32/$B$5</f>
        <v>0</v>
      </c>
      <c r="O41" s="21">
        <f>1/(1+$B$6)^(A41-(Inputs!$B$9-1))</f>
        <v>0.23372772010949561</v>
      </c>
    </row>
    <row r="42" spans="1:15" ht="15" customHeight="1">
      <c r="A42" s="60">
        <v>2054</v>
      </c>
      <c r="B42" s="25">
        <f>Cashflow!F33</f>
        <v>-1.5101395547389986E-9</v>
      </c>
      <c r="C42" s="25">
        <f>H41</f>
        <v>-1.3131648302078247E-7</v>
      </c>
      <c r="D42" s="25">
        <f>IF(A42=Inputs!$B$9-1,$B$8,0)</f>
        <v>0</v>
      </c>
      <c r="E42" s="25">
        <f>C42*$B$6</f>
        <v>-7.550697773694992E-9</v>
      </c>
      <c r="F42" s="25">
        <f>IF(M42=1,N42*$G$7-E42,0)</f>
        <v>0</v>
      </c>
      <c r="G42" s="25">
        <f>E42+F42</f>
        <v>-7.550697773694992E-9</v>
      </c>
      <c r="H42" s="25">
        <f>C42+D42-F42</f>
        <v>-1.3131648302078247E-7</v>
      </c>
      <c r="I42" s="28" t="str">
        <f>IF(ABS(G42)&lt;0.5,"",B42/G42)</f>
        <v/>
      </c>
      <c r="J42" s="28">
        <f>$B$5</f>
        <v>1.3</v>
      </c>
      <c r="K42" s="19" t="str">
        <f>IF(I42="","",I42-J42)</f>
        <v/>
      </c>
      <c r="L42" s="60" t="s">
        <v>274</v>
      </c>
      <c r="M42" s="20">
        <f>IF(AND(A42&gt;=Inputs!$B$9,A42&lt;Inputs!$B$9+MIN($B$7,Inputs!$B$35)),1,0)</f>
        <v>0</v>
      </c>
      <c r="N42" s="25">
        <f>M42*Cashflow!N33/$B$5</f>
        <v>0</v>
      </c>
      <c r="O42" s="21">
        <f>1/(1+$B$6)^(A42-(Inputs!$B$9-1))</f>
        <v>0.22101912067091775</v>
      </c>
    </row>
    <row r="43" spans="1:15" ht="15" customHeight="1">
      <c r="A43" s="60">
        <v>2055</v>
      </c>
      <c r="B43" s="25">
        <f>Cashflow!F34</f>
        <v>-1.5101395547389986E-9</v>
      </c>
      <c r="C43" s="25">
        <f>H42</f>
        <v>-1.3131648302078247E-7</v>
      </c>
      <c r="D43" s="25">
        <f>IF(A43=Inputs!$B$9-1,$B$8,0)</f>
        <v>0</v>
      </c>
      <c r="E43" s="25">
        <f>C43*$B$6</f>
        <v>-7.550697773694992E-9</v>
      </c>
      <c r="F43" s="25">
        <f>IF(M43=1,N43*$G$7-E43,0)</f>
        <v>0</v>
      </c>
      <c r="G43" s="25">
        <f>E43+F43</f>
        <v>-7.550697773694992E-9</v>
      </c>
      <c r="H43" s="25">
        <f>C43+D43-F43</f>
        <v>-1.3131648302078247E-7</v>
      </c>
      <c r="I43" s="28" t="str">
        <f>IF(ABS(G43)&lt;0.5,"",B43/G43)</f>
        <v/>
      </c>
      <c r="J43" s="28">
        <f>$B$5</f>
        <v>1.3</v>
      </c>
      <c r="K43" s="19" t="str">
        <f>IF(I43="","",I43-J43)</f>
        <v/>
      </c>
      <c r="L43" s="60" t="s">
        <v>274</v>
      </c>
      <c r="M43" s="20">
        <f>IF(AND(A43&gt;=Inputs!$B$9,A43&lt;Inputs!$B$9+MIN($B$7,Inputs!$B$35)),1,0)</f>
        <v>0</v>
      </c>
      <c r="N43" s="25">
        <f>M43*Cashflow!N34/$B$5</f>
        <v>0</v>
      </c>
      <c r="O43" s="21">
        <f>1/(1+$B$6)^(A43-(Inputs!$B$9-1))</f>
        <v>0.20900153254933118</v>
      </c>
    </row>
    <row r="44" spans="1:15" ht="15" customHeight="1">
      <c r="A44" s="60">
        <v>2056</v>
      </c>
      <c r="B44" s="25">
        <f>Cashflow!F35</f>
        <v>-1.5101395547389986E-9</v>
      </c>
      <c r="C44" s="25">
        <f>H43</f>
        <v>-1.3131648302078247E-7</v>
      </c>
      <c r="D44" s="25">
        <f>IF(A44=Inputs!$B$9-1,$B$8,0)</f>
        <v>0</v>
      </c>
      <c r="E44" s="25">
        <f>C44*$B$6</f>
        <v>-7.550697773694992E-9</v>
      </c>
      <c r="F44" s="25">
        <f>IF(M44=1,N44*$G$7-E44,0)</f>
        <v>0</v>
      </c>
      <c r="G44" s="25">
        <f>E44+F44</f>
        <v>-7.550697773694992E-9</v>
      </c>
      <c r="H44" s="25">
        <f>C44+D44-F44</f>
        <v>-1.3131648302078247E-7</v>
      </c>
      <c r="I44" s="28" t="str">
        <f>IF(ABS(G44)&lt;0.5,"",B44/G44)</f>
        <v/>
      </c>
      <c r="J44" s="28">
        <f>$B$5</f>
        <v>1.3</v>
      </c>
      <c r="K44" s="19" t="str">
        <f>IF(I44="","",I44-J44)</f>
        <v/>
      </c>
      <c r="L44" s="60" t="s">
        <v>274</v>
      </c>
      <c r="M44" s="20">
        <f>IF(AND(A44&gt;=Inputs!$B$9,A44&lt;Inputs!$B$9+MIN($B$7,Inputs!$B$35)),1,0)</f>
        <v>0</v>
      </c>
      <c r="N44" s="25">
        <f>M44*Cashflow!N35/$B$5</f>
        <v>0</v>
      </c>
      <c r="O44" s="21">
        <f>1/(1+$B$6)^(A44-(Inputs!$B$9-1))</f>
        <v>0.19763738302537226</v>
      </c>
    </row>
    <row r="45" spans="1:15" ht="15" customHeight="1">
      <c r="A45" s="60">
        <v>2057</v>
      </c>
      <c r="B45" s="25">
        <f>Cashflow!F36</f>
        <v>-1.5101395547389986E-9</v>
      </c>
      <c r="C45" s="25">
        <f>H44</f>
        <v>-1.3131648302078247E-7</v>
      </c>
      <c r="D45" s="25">
        <f>IF(A45=Inputs!$B$9-1,$B$8,0)</f>
        <v>0</v>
      </c>
      <c r="E45" s="25">
        <f>C45*$B$6</f>
        <v>-7.550697773694992E-9</v>
      </c>
      <c r="F45" s="25">
        <f>IF(M45=1,N45*$G$7-E45,0)</f>
        <v>0</v>
      </c>
      <c r="G45" s="25">
        <f>E45+F45</f>
        <v>-7.550697773694992E-9</v>
      </c>
      <c r="H45" s="25">
        <f>C45+D45-F45</f>
        <v>-1.3131648302078247E-7</v>
      </c>
      <c r="I45" s="28" t="str">
        <f>IF(ABS(G45)&lt;0.5,"",B45/G45)</f>
        <v/>
      </c>
      <c r="J45" s="28">
        <f>$B$5</f>
        <v>1.3</v>
      </c>
      <c r="K45" s="19" t="str">
        <f>IF(I45="","",I45-J45)</f>
        <v/>
      </c>
      <c r="L45" s="60" t="s">
        <v>274</v>
      </c>
      <c r="M45" s="20">
        <f>IF(AND(A45&gt;=Inputs!$B$9,A45&lt;Inputs!$B$9+MIN($B$7,Inputs!$B$35)),1,0)</f>
        <v>0</v>
      </c>
      <c r="N45" s="25">
        <f>M45*Cashflow!N36/$B$5</f>
        <v>0</v>
      </c>
      <c r="O45" s="21">
        <f>1/(1+$B$6)^(A45-(Inputs!$B$9-1))</f>
        <v>0.18689114234077756</v>
      </c>
    </row>
    <row r="46" spans="1:15" ht="409.5" customHeight="1">
      <c r="A46" s="60">
        <v>2058</v>
      </c>
      <c r="B46" s="25">
        <f>Cashflow!F37</f>
        <v>-1.5101395547389986E-9</v>
      </c>
      <c r="C46" s="25">
        <f>H45</f>
        <v>-1.3131648302078247E-7</v>
      </c>
      <c r="D46" s="25">
        <f>IF(A46=Inputs!$B$9-1,$B$8,0)</f>
        <v>0</v>
      </c>
      <c r="E46" s="25">
        <f>C46*$B$6</f>
        <v>-7.550697773694992E-9</v>
      </c>
      <c r="F46" s="25">
        <f>IF(M46=1,N46*$G$7-E46,0)</f>
        <v>0</v>
      </c>
      <c r="G46" s="25">
        <f>E46+F46</f>
        <v>-7.550697773694992E-9</v>
      </c>
      <c r="H46" s="25">
        <f>C46+D46-F46</f>
        <v>-1.3131648302078247E-7</v>
      </c>
      <c r="I46" s="28" t="str">
        <f>IF(ABS(G46)&lt;0.5,"",B46/G46)</f>
        <v/>
      </c>
      <c r="J46" s="28">
        <f>$B$5</f>
        <v>1.3</v>
      </c>
      <c r="K46" s="19" t="str">
        <f>IF(I46="","",I46-J46)</f>
        <v/>
      </c>
      <c r="L46" s="60" t="s">
        <v>274</v>
      </c>
      <c r="M46" s="20">
        <f>IF(AND(A46&gt;=Inputs!$B$9,A46&lt;Inputs!$B$9+MIN($B$7,Inputs!$B$35)),1,0)</f>
        <v>0</v>
      </c>
      <c r="N46" s="25">
        <f>M46*Cashflow!N37/$B$5</f>
        <v>0</v>
      </c>
      <c r="O46" s="21">
        <f>1/(1+$B$6)^(A46-(Inputs!$B$9-1))</f>
        <v>0.17672921261539248</v>
      </c>
    </row>
    <row r="48" spans="1:15" ht="409.5" customHeight="1">
      <c r="A48" s="23" t="s">
        <v>318</v>
      </c>
    </row>
  </sheetData>
  <mergeCells count="3">
    <mergeCell ref="A1:L1"/>
    <mergeCell ref="A3:L3"/>
    <mergeCell ref="A12:L12"/>
  </mergeCells>
  <pageMargins left="0.75" right="0.75" top="1" bottom="1" header="0.511811023622047" footer="0.5"/>
  <pageSetup fitToHeight="0" orientation="portrait" horizontalDpi="300" verticalDpi="300"/>
  <headerFooter>
    <oddFooter>&amp;CFinnish Onshore Wind Project Finance Model&amp;RPage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365D"/>
    <pageSetUpPr fitToPage="1"/>
  </sheetPr>
  <dimension ref="A1:Q39"/>
  <sheetViews>
    <sheetView showGridLines="0" zoomScaleNormal="100" workbookViewId="0">
      <pane ySplit="4" topLeftCell="A5" activePane="bottomLeft" state="frozen"/>
      <selection pane="bottomLeft"/>
    </sheetView>
  </sheetViews>
  <sheetFormatPr defaultColWidth="8.7109375" defaultRowHeight="15"/>
  <cols>
    <col min="1" max="1" width="12" style="1" customWidth="1"/>
    <col min="2" max="7" width="16" style="1" customWidth="1"/>
    <col min="8" max="11" width="18" style="1" customWidth="1"/>
    <col min="12" max="17" width="20" style="1" customWidth="1"/>
  </cols>
  <sheetData>
    <row r="1" spans="1:17" ht="27.75" customHeight="1">
      <c r="A1" s="63" t="s">
        <v>319</v>
      </c>
      <c r="B1" s="63"/>
      <c r="C1" s="63"/>
      <c r="D1" s="63"/>
      <c r="E1" s="63"/>
      <c r="F1" s="63"/>
      <c r="G1" s="63"/>
      <c r="H1" s="63"/>
      <c r="I1" s="63"/>
      <c r="J1" s="63"/>
      <c r="K1" s="63"/>
    </row>
    <row r="3" spans="1:17" ht="19.5" customHeight="1">
      <c r="A3" s="64" t="s">
        <v>320</v>
      </c>
      <c r="B3" s="64"/>
      <c r="C3" s="64"/>
      <c r="D3" s="64"/>
      <c r="E3" s="64"/>
      <c r="F3" s="64"/>
      <c r="G3" s="64"/>
      <c r="H3" s="64"/>
      <c r="I3" s="64"/>
      <c r="J3" s="64"/>
      <c r="K3" s="64"/>
    </row>
    <row r="4" spans="1:17" ht="27.75" customHeight="1">
      <c r="A4" s="62" t="s">
        <v>238</v>
      </c>
      <c r="B4" s="62" t="s">
        <v>286</v>
      </c>
      <c r="C4" s="62" t="s">
        <v>321</v>
      </c>
      <c r="D4" s="62" t="s">
        <v>322</v>
      </c>
      <c r="E4" s="62" t="s">
        <v>308</v>
      </c>
      <c r="F4" s="62" t="s">
        <v>323</v>
      </c>
      <c r="G4" s="62" t="s">
        <v>324</v>
      </c>
      <c r="H4" s="62" t="s">
        <v>325</v>
      </c>
      <c r="I4" s="62" t="s">
        <v>326</v>
      </c>
      <c r="J4" s="62" t="s">
        <v>327</v>
      </c>
      <c r="K4" s="62" t="s">
        <v>328</v>
      </c>
      <c r="L4" s="62" t="s">
        <v>329</v>
      </c>
      <c r="M4" s="62" t="s">
        <v>330</v>
      </c>
      <c r="N4" s="62" t="s">
        <v>331</v>
      </c>
      <c r="O4" s="62" t="s">
        <v>332</v>
      </c>
      <c r="P4" s="62" t="s">
        <v>333</v>
      </c>
      <c r="Q4" s="62" t="s">
        <v>334</v>
      </c>
    </row>
    <row r="5" spans="1:17" ht="15" customHeight="1">
      <c r="A5" s="60">
        <v>2026</v>
      </c>
      <c r="B5" s="25">
        <f>Cashflow!D5</f>
        <v>0</v>
      </c>
      <c r="C5" s="25">
        <v>0</v>
      </c>
      <c r="D5" s="25">
        <f>B5-C5</f>
        <v>0</v>
      </c>
      <c r="E5" s="25">
        <f>Financing!E14</f>
        <v>0</v>
      </c>
      <c r="F5" s="25">
        <f>D5-E5</f>
        <v>0</v>
      </c>
      <c r="G5" s="25">
        <v>0</v>
      </c>
      <c r="H5" s="25">
        <f>MAX(0,M5-G5)</f>
        <v>0</v>
      </c>
      <c r="I5" s="25">
        <f>MAX(0,G5-M5)</f>
        <v>0</v>
      </c>
      <c r="J5" s="18">
        <f>Inputs!B29</f>
        <v>0.2</v>
      </c>
      <c r="K5" s="25">
        <f>H5*J5</f>
        <v>0</v>
      </c>
      <c r="L5" s="25">
        <f>E5-MIN(E5,MAX(Inputs!$B$58,Inputs!$B$57*MAX(B5,0)))</f>
        <v>0</v>
      </c>
      <c r="M5" s="25">
        <f>F5+L5</f>
        <v>0</v>
      </c>
      <c r="N5" s="25">
        <v>0</v>
      </c>
      <c r="O5" s="25">
        <f>MAX(0,D5-N5)</f>
        <v>0</v>
      </c>
      <c r="P5" s="25">
        <f>MAX(0,N5-D5)</f>
        <v>0</v>
      </c>
      <c r="Q5" s="25">
        <f>O5*J5</f>
        <v>0</v>
      </c>
    </row>
    <row r="6" spans="1:17" ht="15" customHeight="1">
      <c r="A6" s="60">
        <v>2027</v>
      </c>
      <c r="B6" s="25">
        <f>Cashflow!D6</f>
        <v>0</v>
      </c>
      <c r="C6" s="25">
        <f>Inputs!$B$56*(SUM(Cashflow!$E$5:E5)-SUM($C$5:C5))*Production!M6</f>
        <v>0</v>
      </c>
      <c r="D6" s="25">
        <f>B6-C6</f>
        <v>0</v>
      </c>
      <c r="E6" s="25">
        <f>Financing!E15</f>
        <v>0</v>
      </c>
      <c r="F6" s="25">
        <f>D6-E6</f>
        <v>0</v>
      </c>
      <c r="G6" s="25">
        <f>I5</f>
        <v>0</v>
      </c>
      <c r="H6" s="25">
        <f>MAX(0,M6-G6)</f>
        <v>0</v>
      </c>
      <c r="I6" s="25">
        <f>MAX(0,G6-M6)</f>
        <v>0</v>
      </c>
      <c r="J6" s="18">
        <f>Inputs!B29</f>
        <v>0.2</v>
      </c>
      <c r="K6" s="25">
        <f>H6*J6</f>
        <v>0</v>
      </c>
      <c r="L6" s="25">
        <f>E6-MIN(E6,MAX(Inputs!$B$58,Inputs!$B$57*MAX(B6,0)))</f>
        <v>0</v>
      </c>
      <c r="M6" s="25">
        <f>F6+L6</f>
        <v>0</v>
      </c>
      <c r="N6" s="25">
        <f>P5</f>
        <v>0</v>
      </c>
      <c r="O6" s="25">
        <f>MAX(0,D6-N6)</f>
        <v>0</v>
      </c>
      <c r="P6" s="25">
        <f>MAX(0,N6-D6)</f>
        <v>0</v>
      </c>
      <c r="Q6" s="25">
        <f>O6*J6</f>
        <v>0</v>
      </c>
    </row>
    <row r="7" spans="1:17" ht="15" customHeight="1">
      <c r="A7" s="60">
        <v>2028</v>
      </c>
      <c r="B7" s="25">
        <f>Cashflow!D7</f>
        <v>10025640</v>
      </c>
      <c r="C7" s="25">
        <f>Inputs!$B$56*(SUM(Cashflow!$E$5:E6)-SUM($C$5:C6))*Production!M7</f>
        <v>35955000</v>
      </c>
      <c r="D7" s="25">
        <f>B7-C7</f>
        <v>-25929360</v>
      </c>
      <c r="E7" s="25">
        <f>Financing!E16</f>
        <v>4106725.1980080279</v>
      </c>
      <c r="F7" s="25">
        <f>D7-E7</f>
        <v>-30036085.198008027</v>
      </c>
      <c r="G7" s="25">
        <f>I6</f>
        <v>0</v>
      </c>
      <c r="H7" s="25">
        <f>MAX(0,M7-G7)</f>
        <v>0</v>
      </c>
      <c r="I7" s="25">
        <f>MAX(0,G7-M7)</f>
        <v>28435770</v>
      </c>
      <c r="J7" s="18">
        <f>Inputs!B29</f>
        <v>0.2</v>
      </c>
      <c r="K7" s="25">
        <f>H7*J7</f>
        <v>0</v>
      </c>
      <c r="L7" s="25">
        <f>E7-MIN(E7,MAX(Inputs!$B$58,Inputs!$B$57*MAX(B7,0)))</f>
        <v>1600315.1980080279</v>
      </c>
      <c r="M7" s="25">
        <f>F7+L7</f>
        <v>-28435770</v>
      </c>
      <c r="N7" s="25">
        <f>P6</f>
        <v>0</v>
      </c>
      <c r="O7" s="25">
        <f>MAX(0,D7-N7)</f>
        <v>0</v>
      </c>
      <c r="P7" s="25">
        <f>MAX(0,N7-D7)</f>
        <v>25929360</v>
      </c>
      <c r="Q7" s="25">
        <f>O7*J7</f>
        <v>0</v>
      </c>
    </row>
    <row r="8" spans="1:17" ht="15" customHeight="1">
      <c r="A8" s="60">
        <v>2029</v>
      </c>
      <c r="B8" s="25">
        <f>Cashflow!D8</f>
        <v>9894184.8000000007</v>
      </c>
      <c r="C8" s="25">
        <f>Inputs!$B$56*(SUM(Cashflow!$E$5:E7)-SUM($C$5:C7))*Production!M8</f>
        <v>27505575</v>
      </c>
      <c r="D8" s="25">
        <f>B8-C8</f>
        <v>-17611390.199999999</v>
      </c>
      <c r="E8" s="25">
        <f>Financing!E17</f>
        <v>3899420.1276627206</v>
      </c>
      <c r="F8" s="25">
        <f>D8-E8</f>
        <v>-21510810.327662721</v>
      </c>
      <c r="G8" s="25">
        <f>I7</f>
        <v>28435770</v>
      </c>
      <c r="H8" s="25">
        <f>MAX(0,M8-G8)</f>
        <v>0</v>
      </c>
      <c r="I8" s="25">
        <f>MAX(0,G8-M8)</f>
        <v>48520706.400000006</v>
      </c>
      <c r="J8" s="18">
        <f>Inputs!B29</f>
        <v>0.2</v>
      </c>
      <c r="K8" s="25">
        <f>H8*J8</f>
        <v>0</v>
      </c>
      <c r="L8" s="25">
        <f>E8-MIN(E8,MAX(Inputs!$B$58,Inputs!$B$57*MAX(B8,0)))</f>
        <v>1425873.9276627204</v>
      </c>
      <c r="M8" s="25">
        <f>F8+L8</f>
        <v>-20084936.400000002</v>
      </c>
      <c r="N8" s="25">
        <f>P7</f>
        <v>25929360</v>
      </c>
      <c r="O8" s="25">
        <f>MAX(0,D8-N8)</f>
        <v>0</v>
      </c>
      <c r="P8" s="25">
        <f>MAX(0,N8-D8)</f>
        <v>43540750.200000003</v>
      </c>
      <c r="Q8" s="25">
        <f>O8*J8</f>
        <v>0</v>
      </c>
    </row>
    <row r="9" spans="1:17" ht="15" customHeight="1">
      <c r="A9" s="60">
        <v>2030</v>
      </c>
      <c r="B9" s="25">
        <f>Cashflow!D9</f>
        <v>9800798.4959999993</v>
      </c>
      <c r="C9" s="25">
        <f>Inputs!$B$56*(SUM(Cashflow!$E$5:E8)-SUM($C$5:C8))*Production!M9</f>
        <v>21041764.875</v>
      </c>
      <c r="D9" s="25">
        <f>B9-C9</f>
        <v>-11240966.379000001</v>
      </c>
      <c r="E9" s="25">
        <f>Financing!E18</f>
        <v>3686009.3803879423</v>
      </c>
      <c r="F9" s="25">
        <f>D9-E9</f>
        <v>-14926975.759387944</v>
      </c>
      <c r="G9" s="25">
        <f>I8</f>
        <v>48520706.400000006</v>
      </c>
      <c r="H9" s="25">
        <f>MAX(0,M9-G9)</f>
        <v>0</v>
      </c>
      <c r="I9" s="25">
        <f>MAX(0,G9-M9)</f>
        <v>62211872.403000012</v>
      </c>
      <c r="J9" s="18">
        <f>Inputs!B29</f>
        <v>0.2</v>
      </c>
      <c r="K9" s="25">
        <f>H9*J9</f>
        <v>0</v>
      </c>
      <c r="L9" s="25">
        <f>E9-MIN(E9,MAX(Inputs!$B$58,Inputs!$B$57*MAX(B9,0)))</f>
        <v>1235809.7563879425</v>
      </c>
      <c r="M9" s="25">
        <f>F9+L9</f>
        <v>-13691166.003000002</v>
      </c>
      <c r="N9" s="25">
        <f>P8</f>
        <v>43540750.200000003</v>
      </c>
      <c r="O9" s="25">
        <f>MAX(0,D9-N9)</f>
        <v>0</v>
      </c>
      <c r="P9" s="25">
        <f>MAX(0,N9-D9)</f>
        <v>54781716.579000004</v>
      </c>
      <c r="Q9" s="25">
        <f>O9*J9</f>
        <v>0</v>
      </c>
    </row>
    <row r="10" spans="1:17" ht="15" customHeight="1">
      <c r="A10" s="60">
        <v>2031</v>
      </c>
      <c r="B10" s="25">
        <f>Cashflow!D10</f>
        <v>9705544.4659199994</v>
      </c>
      <c r="C10" s="25">
        <f>Inputs!$B$56*(SUM(Cashflow!$E$5:E9)-SUM($C$5:C9))*Production!M10</f>
        <v>16096950.129375</v>
      </c>
      <c r="D10" s="25">
        <f>B10-C10</f>
        <v>-6391405.6634550001</v>
      </c>
      <c r="E10" s="25">
        <f>Financing!E19</f>
        <v>3464458.0632064026</v>
      </c>
      <c r="F10" s="25">
        <f>D10-E10</f>
        <v>-9855863.7266614027</v>
      </c>
      <c r="G10" s="25">
        <f>I9</f>
        <v>62211872.403000012</v>
      </c>
      <c r="H10" s="25">
        <f>MAX(0,M10-G10)</f>
        <v>0</v>
      </c>
      <c r="I10" s="25">
        <f>MAX(0,G10-M10)</f>
        <v>71029664.182935014</v>
      </c>
      <c r="J10" s="18">
        <f>Inputs!B29</f>
        <v>0.2</v>
      </c>
      <c r="K10" s="25">
        <f>H10*J10</f>
        <v>0</v>
      </c>
      <c r="L10" s="25">
        <f>E10-MIN(E10,MAX(Inputs!$B$58,Inputs!$B$57*MAX(B10,0)))</f>
        <v>1038071.9467264027</v>
      </c>
      <c r="M10" s="25">
        <f>F10+L10</f>
        <v>-8817791.7799350005</v>
      </c>
      <c r="N10" s="25">
        <f>P9</f>
        <v>54781716.579000004</v>
      </c>
      <c r="O10" s="25">
        <f>MAX(0,D10-N10)</f>
        <v>0</v>
      </c>
      <c r="P10" s="25">
        <f>MAX(0,N10-D10)</f>
        <v>61173122.242455006</v>
      </c>
      <c r="Q10" s="25">
        <f>O10*J10</f>
        <v>0</v>
      </c>
    </row>
    <row r="11" spans="1:17" ht="15" customHeight="1">
      <c r="A11" s="60">
        <v>2032</v>
      </c>
      <c r="B11" s="25">
        <f>Cashflow!D11</f>
        <v>9648285.3552384004</v>
      </c>
      <c r="C11" s="25">
        <f>Inputs!$B$56*(SUM(Cashflow!$E$5:E10)-SUM($C$5:C10))*Production!M11</f>
        <v>12314166.848971875</v>
      </c>
      <c r="D11" s="25">
        <f>B11-C11</f>
        <v>-2665881.493733475</v>
      </c>
      <c r="E11" s="25">
        <f>Financing!E20</f>
        <v>3234380.704309694</v>
      </c>
      <c r="F11" s="25">
        <f>D11-E11</f>
        <v>-5900262.1980431695</v>
      </c>
      <c r="G11" s="25">
        <f>I10</f>
        <v>71029664.182935014</v>
      </c>
      <c r="H11" s="25">
        <f>MAX(0,M11-G11)</f>
        <v>0</v>
      </c>
      <c r="I11" s="25">
        <f>MAX(0,G11-M11)</f>
        <v>76107617.015478089</v>
      </c>
      <c r="J11" s="18">
        <f>Inputs!B29</f>
        <v>0.2</v>
      </c>
      <c r="K11" s="25">
        <f>H11*J11</f>
        <v>0</v>
      </c>
      <c r="L11" s="25">
        <f>E11-MIN(E11,MAX(Inputs!$B$58,Inputs!$B$57*MAX(B11,0)))</f>
        <v>822309.3655000939</v>
      </c>
      <c r="M11" s="25">
        <f>F11+L11</f>
        <v>-5077952.8325430751</v>
      </c>
      <c r="N11" s="25">
        <f>P10</f>
        <v>61173122.242455006</v>
      </c>
      <c r="O11" s="25">
        <f>MAX(0,D11-N11)</f>
        <v>0</v>
      </c>
      <c r="P11" s="25">
        <f>MAX(0,N11-D11)</f>
        <v>63839003.736188479</v>
      </c>
      <c r="Q11" s="25">
        <f>O11*J11</f>
        <v>0</v>
      </c>
    </row>
    <row r="12" spans="1:17" ht="15" customHeight="1">
      <c r="A12" s="60">
        <v>2033</v>
      </c>
      <c r="B12" s="25">
        <f>Cashflow!D12</f>
        <v>9509283.062343169</v>
      </c>
      <c r="C12" s="25">
        <f>Inputs!$B$56*(SUM(Cashflow!$E$5:E11)-SUM($C$5:C11))*Production!M12</f>
        <v>9420337.6394634843</v>
      </c>
      <c r="D12" s="25">
        <f>B12-C12</f>
        <v>88945.422879684716</v>
      </c>
      <c r="E12" s="25">
        <f>Financing!E21</f>
        <v>2993606.5117873414</v>
      </c>
      <c r="F12" s="25">
        <f>D12-E12</f>
        <v>-2904661.0889076567</v>
      </c>
      <c r="G12" s="25">
        <f>I11</f>
        <v>76107617.015478089</v>
      </c>
      <c r="H12" s="25">
        <f>MAX(0,M12-G12)</f>
        <v>0</v>
      </c>
      <c r="I12" s="25">
        <f>MAX(0,G12-M12)</f>
        <v>78395992.358184204</v>
      </c>
      <c r="J12" s="18">
        <f>Inputs!B29</f>
        <v>0.2</v>
      </c>
      <c r="K12" s="25">
        <f>H12*J12</f>
        <v>0</v>
      </c>
      <c r="L12" s="25">
        <f>E12-MIN(E12,MAX(Inputs!$B$58,Inputs!$B$57*MAX(B12,0)))</f>
        <v>616285.74620154919</v>
      </c>
      <c r="M12" s="25">
        <f>F12+L12</f>
        <v>-2288375.3427061075</v>
      </c>
      <c r="N12" s="25">
        <f>P11</f>
        <v>63839003.736188479</v>
      </c>
      <c r="O12" s="25">
        <f>MAX(0,D12-N12)</f>
        <v>0</v>
      </c>
      <c r="P12" s="25">
        <f>MAX(0,N12-D12)</f>
        <v>63750058.31330879</v>
      </c>
      <c r="Q12" s="25">
        <f>O12*J12</f>
        <v>0</v>
      </c>
    </row>
    <row r="13" spans="1:17" ht="15" customHeight="1">
      <c r="A13" s="60">
        <v>2034</v>
      </c>
      <c r="B13" s="25">
        <f>Cashflow!D13</f>
        <v>9408198.7235900313</v>
      </c>
      <c r="C13" s="25">
        <f>Inputs!$B$56*(SUM(Cashflow!$E$5:E12)-SUM($C$5:C12))*Production!M13</f>
        <v>7206558.2941895667</v>
      </c>
      <c r="D13" s="25">
        <f>B13-C13</f>
        <v>2201640.4294004645</v>
      </c>
      <c r="E13" s="25">
        <f>Financing!E22</f>
        <v>2745135.9815345504</v>
      </c>
      <c r="F13" s="25">
        <f>D13-E13</f>
        <v>-543495.55213408591</v>
      </c>
      <c r="G13" s="25">
        <f>I12</f>
        <v>78395992.358184204</v>
      </c>
      <c r="H13" s="25">
        <f>MAX(0,M13-G13)</f>
        <v>0</v>
      </c>
      <c r="I13" s="25">
        <f>MAX(0,G13-M13)</f>
        <v>78546401.609681249</v>
      </c>
      <c r="J13" s="18">
        <f>Inputs!B29</f>
        <v>0.2</v>
      </c>
      <c r="K13" s="25">
        <f>H13*J13</f>
        <v>0</v>
      </c>
      <c r="L13" s="25">
        <f>E13-MIN(E13,MAX(Inputs!$B$58,Inputs!$B$57*MAX(B13,0)))</f>
        <v>393086.30063704262</v>
      </c>
      <c r="M13" s="25">
        <f>F13+L13</f>
        <v>-150409.2514970433</v>
      </c>
      <c r="N13" s="25">
        <f>P12</f>
        <v>63750058.31330879</v>
      </c>
      <c r="O13" s="25">
        <f>MAX(0,D13-N13)</f>
        <v>0</v>
      </c>
      <c r="P13" s="25">
        <f>MAX(0,N13-D13)</f>
        <v>61548417.883908324</v>
      </c>
      <c r="Q13" s="25">
        <f>O13*J13</f>
        <v>0</v>
      </c>
    </row>
    <row r="14" spans="1:17" ht="15" customHeight="1">
      <c r="A14" s="60">
        <v>2035</v>
      </c>
      <c r="B14" s="25">
        <f>Cashflow!D14</f>
        <v>9305092.6980618313</v>
      </c>
      <c r="C14" s="25">
        <f>Inputs!$B$56*(SUM(Cashflow!$E$5:E13)-SUM($C$5:C13))*Production!M14</f>
        <v>5513017.0950550167</v>
      </c>
      <c r="D14" s="25">
        <f>B14-C14</f>
        <v>3792075.6030068146</v>
      </c>
      <c r="E14" s="25">
        <f>Financing!E23</f>
        <v>2486849.4338524588</v>
      </c>
      <c r="F14" s="25">
        <f>D14-E14</f>
        <v>1305226.1691543558</v>
      </c>
      <c r="G14" s="25">
        <f>I13</f>
        <v>78546401.609681249</v>
      </c>
      <c r="H14" s="25">
        <f>MAX(0,M14-G14)</f>
        <v>0</v>
      </c>
      <c r="I14" s="25">
        <f>MAX(0,G14-M14)</f>
        <v>77080599.181189895</v>
      </c>
      <c r="J14" s="18">
        <f>Inputs!B29</f>
        <v>0.2</v>
      </c>
      <c r="K14" s="25">
        <f>H14*J14</f>
        <v>0</v>
      </c>
      <c r="L14" s="25">
        <f>E14-MIN(E14,MAX(Inputs!$B$58,Inputs!$B$57*MAX(B14,0)))</f>
        <v>160576.25933700101</v>
      </c>
      <c r="M14" s="25">
        <f>F14+L14</f>
        <v>1465802.4284913568</v>
      </c>
      <c r="N14" s="25">
        <f>P13</f>
        <v>61548417.883908324</v>
      </c>
      <c r="O14" s="25">
        <f>MAX(0,D14-N14)</f>
        <v>0</v>
      </c>
      <c r="P14" s="25">
        <f>MAX(0,N14-D14)</f>
        <v>57756342.280901507</v>
      </c>
      <c r="Q14" s="25">
        <f>O14*J14</f>
        <v>0</v>
      </c>
    </row>
    <row r="15" spans="1:17" ht="15" customHeight="1">
      <c r="A15" s="60">
        <v>2036</v>
      </c>
      <c r="B15" s="25">
        <f>Cashflow!D15</f>
        <v>9239824.5520230681</v>
      </c>
      <c r="C15" s="25">
        <f>Inputs!$B$56*(SUM(Cashflow!$E$5:E14)-SUM($C$5:C14))*Production!M15</f>
        <v>4217458.0777170854</v>
      </c>
      <c r="D15" s="25">
        <f>B15-C15</f>
        <v>5022366.4743059827</v>
      </c>
      <c r="E15" s="25">
        <f>Financing!E24</f>
        <v>2218271.868500086</v>
      </c>
      <c r="F15" s="25">
        <f>D15-E15</f>
        <v>2804094.6058058967</v>
      </c>
      <c r="G15" s="25">
        <f>I14</f>
        <v>77080599.181189895</v>
      </c>
      <c r="H15" s="25">
        <f>MAX(0,M15-G15)</f>
        <v>0</v>
      </c>
      <c r="I15" s="25">
        <f>MAX(0,G15-M15)</f>
        <v>74276504.575383991</v>
      </c>
      <c r="J15" s="18">
        <f>Inputs!B29</f>
        <v>0.2</v>
      </c>
      <c r="K15" s="25">
        <f>H15*J15</f>
        <v>0</v>
      </c>
      <c r="L15" s="25">
        <f>E15-MIN(E15,MAX(Inputs!$B$58,Inputs!$B$57*MAX(B15,0)))</f>
        <v>0</v>
      </c>
      <c r="M15" s="25">
        <f>F15+L15</f>
        <v>2804094.6058058967</v>
      </c>
      <c r="N15" s="25">
        <f>P14</f>
        <v>57756342.280901507</v>
      </c>
      <c r="O15" s="25">
        <f>MAX(0,D15-N15)</f>
        <v>0</v>
      </c>
      <c r="P15" s="25">
        <f>MAX(0,N15-D15)</f>
        <v>52733975.806595527</v>
      </c>
      <c r="Q15" s="25">
        <f>O15*J15</f>
        <v>0</v>
      </c>
    </row>
    <row r="16" spans="1:17" ht="15" customHeight="1">
      <c r="A16" s="60">
        <v>2037</v>
      </c>
      <c r="B16" s="25">
        <f>Cashflow!D16</f>
        <v>9092653.0430635326</v>
      </c>
      <c r="C16" s="25">
        <f>Inputs!$B$56*(SUM(Cashflow!$E$5:E15)-SUM($C$5:C15))*Production!M16</f>
        <v>3226355.4294535681</v>
      </c>
      <c r="D16" s="25">
        <f>B16-C16</f>
        <v>5866297.613609964</v>
      </c>
      <c r="E16" s="25">
        <f>Financing!E25</f>
        <v>1937137.953445513</v>
      </c>
      <c r="F16" s="25">
        <f>D16-E16</f>
        <v>3929159.6601644512</v>
      </c>
      <c r="G16" s="25">
        <f>I15</f>
        <v>74276504.575383991</v>
      </c>
      <c r="H16" s="25">
        <f>MAX(0,M16-G16)</f>
        <v>0</v>
      </c>
      <c r="I16" s="25">
        <f>MAX(0,G16-M16)</f>
        <v>70347344.915219545</v>
      </c>
      <c r="J16" s="18">
        <f>Inputs!B29</f>
        <v>0.2</v>
      </c>
      <c r="K16" s="25">
        <f>H16*J16</f>
        <v>0</v>
      </c>
      <c r="L16" s="25">
        <f>E16-MIN(E16,MAX(Inputs!$B$58,Inputs!$B$57*MAX(B16,0)))</f>
        <v>0</v>
      </c>
      <c r="M16" s="25">
        <f>F16+L16</f>
        <v>3929159.6601644512</v>
      </c>
      <c r="N16" s="25">
        <f>P15</f>
        <v>52733975.806595527</v>
      </c>
      <c r="O16" s="25">
        <f>MAX(0,D16-N16)</f>
        <v>0</v>
      </c>
      <c r="P16" s="25">
        <f>MAX(0,N16-D16)</f>
        <v>46867678.192985564</v>
      </c>
      <c r="Q16" s="25">
        <f>O16*J16</f>
        <v>0</v>
      </c>
    </row>
    <row r="17" spans="1:17" ht="15" customHeight="1">
      <c r="A17" s="60">
        <v>2038</v>
      </c>
      <c r="B17" s="25">
        <f>Cashflow!D17</f>
        <v>8983236.1039248016</v>
      </c>
      <c r="C17" s="25">
        <f>Inputs!$B$56*(SUM(Cashflow!$E$5:E16)-SUM($C$5:C16))*Production!M17</f>
        <v>2468161.9035319765</v>
      </c>
      <c r="D17" s="25">
        <f>B17-C17</f>
        <v>6515074.2003928255</v>
      </c>
      <c r="E17" s="25">
        <f>Financing!E26</f>
        <v>1646348.3473254354</v>
      </c>
      <c r="F17" s="25">
        <f>D17-E17</f>
        <v>4868725.8530673906</v>
      </c>
      <c r="G17" s="25">
        <f>I16</f>
        <v>70347344.915219545</v>
      </c>
      <c r="H17" s="25">
        <f>MAX(0,M17-G17)</f>
        <v>0</v>
      </c>
      <c r="I17" s="25">
        <f>MAX(0,G17-M17)</f>
        <v>65478619.062152155</v>
      </c>
      <c r="J17" s="18">
        <f>Inputs!B29</f>
        <v>0.2</v>
      </c>
      <c r="K17" s="25">
        <f>H17*J17</f>
        <v>0</v>
      </c>
      <c r="L17" s="25">
        <f>E17-MIN(E17,MAX(Inputs!$B$58,Inputs!$B$57*MAX(B17,0)))</f>
        <v>0</v>
      </c>
      <c r="M17" s="25">
        <f>F17+L17</f>
        <v>4868725.8530673906</v>
      </c>
      <c r="N17" s="25">
        <f>P16</f>
        <v>46867678.192985564</v>
      </c>
      <c r="O17" s="25">
        <f>MAX(0,D17-N17)</f>
        <v>0</v>
      </c>
      <c r="P17" s="25">
        <f>MAX(0,N17-D17)</f>
        <v>40352603.992592737</v>
      </c>
      <c r="Q17" s="25">
        <f>O17*J17</f>
        <v>0</v>
      </c>
    </row>
    <row r="18" spans="1:17" ht="15" customHeight="1">
      <c r="A18" s="60">
        <v>2039</v>
      </c>
      <c r="B18" s="25">
        <f>Cashflow!D18</f>
        <v>8871630.8260032963</v>
      </c>
      <c r="C18" s="25">
        <f>Inputs!$B$56*(SUM(Cashflow!$E$5:E17)-SUM($C$5:C17))*Production!M18</f>
        <v>1888143.8562019637</v>
      </c>
      <c r="D18" s="25">
        <f>B18-C18</f>
        <v>6983486.9698013328</v>
      </c>
      <c r="E18" s="25">
        <f>Financing!E27</f>
        <v>1343677.9342384355</v>
      </c>
      <c r="F18" s="25">
        <f>D18-E18</f>
        <v>5639809.0355628971</v>
      </c>
      <c r="G18" s="25">
        <f>I17</f>
        <v>65478619.062152155</v>
      </c>
      <c r="H18" s="25">
        <f>MAX(0,M18-G18)</f>
        <v>0</v>
      </c>
      <c r="I18" s="25">
        <f>MAX(0,G18-M18)</f>
        <v>59838810.02658926</v>
      </c>
      <c r="J18" s="18">
        <f>Inputs!B29</f>
        <v>0.2</v>
      </c>
      <c r="K18" s="25">
        <f>H18*J18</f>
        <v>0</v>
      </c>
      <c r="L18" s="25">
        <f>E18-MIN(E18,MAX(Inputs!$B$58,Inputs!$B$57*MAX(B18,0)))</f>
        <v>0</v>
      </c>
      <c r="M18" s="25">
        <f>F18+L18</f>
        <v>5639809.0355628971</v>
      </c>
      <c r="N18" s="25">
        <f>P17</f>
        <v>40352603.992592737</v>
      </c>
      <c r="O18" s="25">
        <f>MAX(0,D18-N18)</f>
        <v>0</v>
      </c>
      <c r="P18" s="25">
        <f>MAX(0,N18-D18)</f>
        <v>33369117.022791404</v>
      </c>
      <c r="Q18" s="25">
        <f>O18*J18</f>
        <v>0</v>
      </c>
    </row>
    <row r="19" spans="1:17" ht="15" customHeight="1">
      <c r="A19" s="60">
        <v>2040</v>
      </c>
      <c r="B19" s="25">
        <f>Cashflow!D19</f>
        <v>8797693.442523364</v>
      </c>
      <c r="C19" s="25">
        <f>Inputs!$B$56*(SUM(Cashflow!$E$5:E18)-SUM($C$5:C18))*Production!M19</f>
        <v>1444430.0499944992</v>
      </c>
      <c r="D19" s="25">
        <f>B19-C19</f>
        <v>7353263.3925288646</v>
      </c>
      <c r="E19" s="25">
        <f>Financing!E28</f>
        <v>1028540.3596916152</v>
      </c>
      <c r="F19" s="25">
        <f>D19-E19</f>
        <v>6324723.0328372493</v>
      </c>
      <c r="G19" s="25">
        <f>I18</f>
        <v>59838810.02658926</v>
      </c>
      <c r="H19" s="25">
        <f>MAX(0,M19-G19)</f>
        <v>0</v>
      </c>
      <c r="I19" s="25">
        <f>MAX(0,G19-M19)</f>
        <v>53514086.99375201</v>
      </c>
      <c r="J19" s="18">
        <f>Inputs!B29</f>
        <v>0.2</v>
      </c>
      <c r="K19" s="25">
        <f>H19*J19</f>
        <v>0</v>
      </c>
      <c r="L19" s="25">
        <f>E19-MIN(E19,MAX(Inputs!$B$58,Inputs!$B$57*MAX(B19,0)))</f>
        <v>0</v>
      </c>
      <c r="M19" s="25">
        <f>F19+L19</f>
        <v>6324723.0328372493</v>
      </c>
      <c r="N19" s="25">
        <f>P18</f>
        <v>33369117.022791404</v>
      </c>
      <c r="O19" s="25">
        <f>MAX(0,D19-N19)</f>
        <v>0</v>
      </c>
      <c r="P19" s="25">
        <f>MAX(0,N19-D19)</f>
        <v>26015853.630262539</v>
      </c>
      <c r="Q19" s="25">
        <f>O19*J19</f>
        <v>0</v>
      </c>
    </row>
    <row r="20" spans="1:17" ht="15" customHeight="1">
      <c r="A20" s="60">
        <v>2041</v>
      </c>
      <c r="B20" s="25">
        <f>Cashflow!D20</f>
        <v>8641679.3113738317</v>
      </c>
      <c r="C20" s="25">
        <f>Inputs!$B$56*(SUM(Cashflow!$E$5:E19)-SUM($C$5:C19))*Production!M20</f>
        <v>1104988.9882457922</v>
      </c>
      <c r="D20" s="25">
        <f>B20-C20</f>
        <v>7536690.323128039</v>
      </c>
      <c r="E20" s="25">
        <f>Financing!E29</f>
        <v>698552.68195458048</v>
      </c>
      <c r="F20" s="25">
        <f>D20-E20</f>
        <v>6838137.6411734587</v>
      </c>
      <c r="G20" s="25">
        <f>I19</f>
        <v>53514086.99375201</v>
      </c>
      <c r="H20" s="25">
        <f>MAX(0,M20-G20)</f>
        <v>0</v>
      </c>
      <c r="I20" s="25">
        <f>MAX(0,G20-M20)</f>
        <v>46675949.352578551</v>
      </c>
      <c r="J20" s="18">
        <f>Inputs!B29</f>
        <v>0.2</v>
      </c>
      <c r="K20" s="25">
        <f>H20*J20</f>
        <v>0</v>
      </c>
      <c r="L20" s="25">
        <f>E20-MIN(E20,MAX(Inputs!$B$58,Inputs!$B$57*MAX(B20,0)))</f>
        <v>0</v>
      </c>
      <c r="M20" s="25">
        <f>F20+L20</f>
        <v>6838137.6411734587</v>
      </c>
      <c r="N20" s="25">
        <f>P19</f>
        <v>26015853.630262539</v>
      </c>
      <c r="O20" s="25">
        <f>MAX(0,D20-N20)</f>
        <v>0</v>
      </c>
      <c r="P20" s="25">
        <f>MAX(0,N20-D20)</f>
        <v>18479163.307134502</v>
      </c>
      <c r="Q20" s="25">
        <f>O20*J20</f>
        <v>0</v>
      </c>
    </row>
    <row r="21" spans="1:17" ht="15" customHeight="1">
      <c r="A21" s="60">
        <v>2042</v>
      </c>
      <c r="B21" s="25">
        <f>Cashflow!D21</f>
        <v>8523242.8976013064</v>
      </c>
      <c r="C21" s="25">
        <f>Inputs!$B$56*(SUM(Cashflow!$E$5:E20)-SUM($C$5:C20))*Production!M21</f>
        <v>845316.57600803266</v>
      </c>
      <c r="D21" s="25">
        <f>B21-C21</f>
        <v>7677926.3215932734</v>
      </c>
      <c r="E21" s="25">
        <f>Financing!E30</f>
        <v>356491.33777928015</v>
      </c>
      <c r="F21" s="25">
        <f>D21-E21</f>
        <v>7321434.9838139936</v>
      </c>
      <c r="G21" s="25">
        <f>I20</f>
        <v>46675949.352578551</v>
      </c>
      <c r="H21" s="25">
        <f>MAX(0,M21-G21)</f>
        <v>0</v>
      </c>
      <c r="I21" s="25">
        <f>MAX(0,G21-M21)</f>
        <v>39354514.368764557</v>
      </c>
      <c r="J21" s="18">
        <f>Inputs!B29</f>
        <v>0.2</v>
      </c>
      <c r="K21" s="25">
        <f>H21*J21</f>
        <v>0</v>
      </c>
      <c r="L21" s="25">
        <f>E21-MIN(E21,MAX(Inputs!$B$58,Inputs!$B$57*MAX(B21,0)))</f>
        <v>0</v>
      </c>
      <c r="M21" s="25">
        <f>F21+L21</f>
        <v>7321434.9838139936</v>
      </c>
      <c r="N21" s="25">
        <f>P20</f>
        <v>18479163.307134502</v>
      </c>
      <c r="O21" s="25">
        <f>MAX(0,D21-N21)</f>
        <v>0</v>
      </c>
      <c r="P21" s="25">
        <f>MAX(0,N21-D21)</f>
        <v>10801236.985541228</v>
      </c>
      <c r="Q21" s="25">
        <f>O21*J21</f>
        <v>0</v>
      </c>
    </row>
    <row r="22" spans="1:17" ht="15" customHeight="1">
      <c r="A22" s="60">
        <v>2043</v>
      </c>
      <c r="B22" s="25">
        <f>Cashflow!D22</f>
        <v>4004149.2375769876</v>
      </c>
      <c r="C22" s="25">
        <f>Inputs!$B$56*(SUM(Cashflow!$E$5:E21)-SUM($C$5:C21))*Production!M22</f>
        <v>646667.18064614758</v>
      </c>
      <c r="D22" s="25">
        <f>B22-C22</f>
        <v>3357482.05693084</v>
      </c>
      <c r="E22" s="25">
        <f>Financing!E31</f>
        <v>-7.550697773694992E-9</v>
      </c>
      <c r="F22" s="25">
        <f>D22-E22</f>
        <v>3357482.0569308475</v>
      </c>
      <c r="G22" s="25">
        <f>I21</f>
        <v>39354514.368764557</v>
      </c>
      <c r="H22" s="25">
        <f>MAX(0,M22-G22)</f>
        <v>0</v>
      </c>
      <c r="I22" s="25">
        <f>MAX(0,G22-M22)</f>
        <v>35997032.311833709</v>
      </c>
      <c r="J22" s="18">
        <f>Inputs!B29</f>
        <v>0.2</v>
      </c>
      <c r="K22" s="25">
        <f>H22*J22</f>
        <v>0</v>
      </c>
      <c r="L22" s="25">
        <f>E22-MIN(E22,MAX(Inputs!$B$58,Inputs!$B$57*MAX(B22,0)))</f>
        <v>0</v>
      </c>
      <c r="M22" s="25">
        <f>F22+L22</f>
        <v>3357482.0569308475</v>
      </c>
      <c r="N22" s="25">
        <f>P21</f>
        <v>10801236.985541228</v>
      </c>
      <c r="O22" s="25">
        <f>MAX(0,D22-N22)</f>
        <v>0</v>
      </c>
      <c r="P22" s="25">
        <f>MAX(0,N22-D22)</f>
        <v>7443754.9286103882</v>
      </c>
      <c r="Q22" s="25">
        <f>O22*J22</f>
        <v>0</v>
      </c>
    </row>
    <row r="23" spans="1:17" ht="15" customHeight="1">
      <c r="A23" s="60">
        <v>2044</v>
      </c>
      <c r="B23" s="25">
        <f>Cashflow!D23</f>
        <v>4257805.5834021633</v>
      </c>
      <c r="C23" s="25">
        <f>Inputs!$B$56*(SUM(Cashflow!$E$5:E22)-SUM($C$5:C22))*Production!M23</f>
        <v>494700.39319430199</v>
      </c>
      <c r="D23" s="25">
        <f>B23-C23</f>
        <v>3763105.1902078614</v>
      </c>
      <c r="E23" s="25">
        <f>Financing!E32</f>
        <v>-7.550697773694992E-9</v>
      </c>
      <c r="F23" s="25">
        <f>D23-E23</f>
        <v>3763105.1902078688</v>
      </c>
      <c r="G23" s="25">
        <f>I22</f>
        <v>35997032.311833709</v>
      </c>
      <c r="H23" s="25">
        <f>MAX(0,M23-G23)</f>
        <v>0</v>
      </c>
      <c r="I23" s="25">
        <f>MAX(0,G23-M23)</f>
        <v>32233927.121625841</v>
      </c>
      <c r="J23" s="18">
        <f>Inputs!B29</f>
        <v>0.2</v>
      </c>
      <c r="K23" s="25">
        <f>H23*J23</f>
        <v>0</v>
      </c>
      <c r="L23" s="25">
        <f>E23-MIN(E23,MAX(Inputs!$B$58,Inputs!$B$57*MAX(B23,0)))</f>
        <v>0</v>
      </c>
      <c r="M23" s="25">
        <f>F23+L23</f>
        <v>3763105.1902078688</v>
      </c>
      <c r="N23" s="25">
        <f>P22</f>
        <v>7443754.9286103882</v>
      </c>
      <c r="O23" s="25">
        <f>MAX(0,D23-N23)</f>
        <v>0</v>
      </c>
      <c r="P23" s="25">
        <f>MAX(0,N23-D23)</f>
        <v>3680649.7384025268</v>
      </c>
      <c r="Q23" s="25">
        <f>O23*J23</f>
        <v>0</v>
      </c>
    </row>
    <row r="24" spans="1:17" ht="15" customHeight="1">
      <c r="A24" s="60">
        <v>2045</v>
      </c>
      <c r="B24" s="25">
        <f>Cashflow!D24</f>
        <v>4461247.3383697299</v>
      </c>
      <c r="C24" s="25">
        <f>Inputs!$B$56*(SUM(Cashflow!$E$5:E23)-SUM($C$5:C23))*Production!M24</f>
        <v>378445.80079364433</v>
      </c>
      <c r="D24" s="25">
        <f>B24-C24</f>
        <v>4082801.5375760854</v>
      </c>
      <c r="E24" s="25">
        <f>Financing!E33</f>
        <v>-7.550697773694992E-9</v>
      </c>
      <c r="F24" s="25">
        <f>D24-E24</f>
        <v>4082801.5375760929</v>
      </c>
      <c r="G24" s="25">
        <f>I23</f>
        <v>32233927.121625841</v>
      </c>
      <c r="H24" s="25">
        <f>MAX(0,M24-G24)</f>
        <v>0</v>
      </c>
      <c r="I24" s="25">
        <f>MAX(0,G24-M24)</f>
        <v>28151125.584049746</v>
      </c>
      <c r="J24" s="18">
        <f>Inputs!B29</f>
        <v>0.2</v>
      </c>
      <c r="K24" s="25">
        <f>H24*J24</f>
        <v>0</v>
      </c>
      <c r="L24" s="25">
        <f>E24-MIN(E24,MAX(Inputs!$B$58,Inputs!$B$57*MAX(B24,0)))</f>
        <v>0</v>
      </c>
      <c r="M24" s="25">
        <f>F24+L24</f>
        <v>4082801.5375760929</v>
      </c>
      <c r="N24" s="25">
        <f>P23</f>
        <v>3680649.7384025268</v>
      </c>
      <c r="O24" s="25">
        <f>MAX(0,D24-N24)</f>
        <v>402151.7991735586</v>
      </c>
      <c r="P24" s="25">
        <f>MAX(0,N24-D24)</f>
        <v>0</v>
      </c>
      <c r="Q24" s="25">
        <f>O24*J24</f>
        <v>80430.359834711722</v>
      </c>
    </row>
    <row r="25" spans="1:17" ht="15" customHeight="1">
      <c r="A25" s="60">
        <v>2046</v>
      </c>
      <c r="B25" s="25">
        <f>Cashflow!D25</f>
        <v>4701090.8256503856</v>
      </c>
      <c r="C25" s="25">
        <f>Inputs!$B$56*(SUM(Cashflow!$E$5:E24)-SUM($C$5:C24))*Production!M25</f>
        <v>289511.03760713711</v>
      </c>
      <c r="D25" s="25">
        <f>B25-C25</f>
        <v>4411579.7880432485</v>
      </c>
      <c r="E25" s="25">
        <f>Financing!E34</f>
        <v>-7.550697773694992E-9</v>
      </c>
      <c r="F25" s="25">
        <f>D25-E25</f>
        <v>4411579.7880432559</v>
      </c>
      <c r="G25" s="25">
        <f>I24</f>
        <v>28151125.584049746</v>
      </c>
      <c r="H25" s="25">
        <f>MAX(0,M25-G25)</f>
        <v>0</v>
      </c>
      <c r="I25" s="25">
        <f>MAX(0,G25-M25)</f>
        <v>23739545.79600649</v>
      </c>
      <c r="J25" s="18">
        <f>Inputs!B29</f>
        <v>0.2</v>
      </c>
      <c r="K25" s="25">
        <f>H25*J25</f>
        <v>0</v>
      </c>
      <c r="L25" s="25">
        <f>E25-MIN(E25,MAX(Inputs!$B$58,Inputs!$B$57*MAX(B25,0)))</f>
        <v>0</v>
      </c>
      <c r="M25" s="25">
        <f>F25+L25</f>
        <v>4411579.7880432559</v>
      </c>
      <c r="N25" s="25">
        <f>P24</f>
        <v>0</v>
      </c>
      <c r="O25" s="25">
        <f>MAX(0,D25-N25)</f>
        <v>4411579.7880432485</v>
      </c>
      <c r="P25" s="25">
        <f>MAX(0,N25-D25)</f>
        <v>0</v>
      </c>
      <c r="Q25" s="25">
        <f>O25*J25</f>
        <v>882315.95760864974</v>
      </c>
    </row>
    <row r="26" spans="1:17" ht="15" customHeight="1">
      <c r="A26" s="60">
        <v>2047</v>
      </c>
      <c r="B26" s="25">
        <f>Cashflow!D26</f>
        <v>4948743.5534869181</v>
      </c>
      <c r="C26" s="25">
        <f>Inputs!$B$56*(SUM(Cashflow!$E$5:E25)-SUM($C$5:C25))*Production!M26</f>
        <v>221475.94376946075</v>
      </c>
      <c r="D26" s="25">
        <f>B26-C26</f>
        <v>4727267.6097174576</v>
      </c>
      <c r="E26" s="25">
        <f>Financing!E35</f>
        <v>-7.550697773694992E-9</v>
      </c>
      <c r="F26" s="25">
        <f>D26-E26</f>
        <v>4727267.609717465</v>
      </c>
      <c r="G26" s="25">
        <f>I25</f>
        <v>23739545.79600649</v>
      </c>
      <c r="H26" s="25">
        <f>MAX(0,M26-G26)</f>
        <v>0</v>
      </c>
      <c r="I26" s="25">
        <f>MAX(0,G26-M26)</f>
        <v>19012278.186289024</v>
      </c>
      <c r="J26" s="18">
        <f>Inputs!B29</f>
        <v>0.2</v>
      </c>
      <c r="K26" s="25">
        <f>H26*J26</f>
        <v>0</v>
      </c>
      <c r="L26" s="25">
        <f>E26-MIN(E26,MAX(Inputs!$B$58,Inputs!$B$57*MAX(B26,0)))</f>
        <v>0</v>
      </c>
      <c r="M26" s="25">
        <f>F26+L26</f>
        <v>4727267.609717465</v>
      </c>
      <c r="N26" s="25">
        <f>P25</f>
        <v>0</v>
      </c>
      <c r="O26" s="25">
        <f>MAX(0,D26-N26)</f>
        <v>4727267.6097174576</v>
      </c>
      <c r="P26" s="25">
        <f>MAX(0,N26-D26)</f>
        <v>0</v>
      </c>
      <c r="Q26" s="25">
        <f>O26*J26</f>
        <v>945453.52194349153</v>
      </c>
    </row>
    <row r="27" spans="1:17" ht="15" customHeight="1">
      <c r="A27" s="60">
        <v>2048</v>
      </c>
      <c r="B27" s="25">
        <f>Cashflow!D27</f>
        <v>5237317.1116560278</v>
      </c>
      <c r="C27" s="25">
        <f>Inputs!$B$56*(SUM(Cashflow!$E$5:E26)-SUM($C$5:C26))*Production!M27</f>
        <v>169429.09698363885</v>
      </c>
      <c r="D27" s="25">
        <f>B27-C27</f>
        <v>5067888.0146723893</v>
      </c>
      <c r="E27" s="25">
        <f>Financing!E36</f>
        <v>-7.550697773694992E-9</v>
      </c>
      <c r="F27" s="25">
        <f>D27-E27</f>
        <v>5067888.0146723967</v>
      </c>
      <c r="G27" s="25">
        <f>I26</f>
        <v>19012278.186289024</v>
      </c>
      <c r="H27" s="25">
        <f>MAX(0,M27-G27)</f>
        <v>0</v>
      </c>
      <c r="I27" s="25">
        <f>MAX(0,G27-M27)</f>
        <v>13944390.171616627</v>
      </c>
      <c r="J27" s="18">
        <f>Inputs!B29</f>
        <v>0.2</v>
      </c>
      <c r="K27" s="25">
        <f>H27*J27</f>
        <v>0</v>
      </c>
      <c r="L27" s="25">
        <f>E27-MIN(E27,MAX(Inputs!$B$58,Inputs!$B$57*MAX(B27,0)))</f>
        <v>0</v>
      </c>
      <c r="M27" s="25">
        <f>F27+L27</f>
        <v>5067888.0146723967</v>
      </c>
      <c r="N27" s="25">
        <f>P26</f>
        <v>0</v>
      </c>
      <c r="O27" s="25">
        <f>MAX(0,D27-N27)</f>
        <v>5067888.0146723893</v>
      </c>
      <c r="P27" s="25">
        <f>MAX(0,N27-D27)</f>
        <v>0</v>
      </c>
      <c r="Q27" s="25">
        <f>O27*J27</f>
        <v>1013577.6029344779</v>
      </c>
    </row>
    <row r="28" spans="1:17" ht="15" customHeight="1">
      <c r="A28" s="60">
        <v>2049</v>
      </c>
      <c r="B28" s="25">
        <f>Cashflow!D28</f>
        <v>5468347.9933297886</v>
      </c>
      <c r="C28" s="25">
        <f>Inputs!$B$56*(SUM(Cashflow!$E$5:E27)-SUM($C$5:C27))*Production!M28</f>
        <v>129613.25919248312</v>
      </c>
      <c r="D28" s="25">
        <f>B28-C28</f>
        <v>5338734.7341373051</v>
      </c>
      <c r="E28" s="25">
        <f>Financing!E37</f>
        <v>-7.550697773694992E-9</v>
      </c>
      <c r="F28" s="25">
        <f>D28-E28</f>
        <v>5338734.7341373125</v>
      </c>
      <c r="G28" s="25">
        <f>I27</f>
        <v>13944390.171616627</v>
      </c>
      <c r="H28" s="25">
        <f>MAX(0,M28-G28)</f>
        <v>0</v>
      </c>
      <c r="I28" s="25">
        <f>MAX(0,G28-M28)</f>
        <v>8605655.4374793135</v>
      </c>
      <c r="J28" s="18">
        <f>Inputs!B29</f>
        <v>0.2</v>
      </c>
      <c r="K28" s="25">
        <f>H28*J28</f>
        <v>0</v>
      </c>
      <c r="L28" s="25">
        <f>E28-MIN(E28,MAX(Inputs!$B$58,Inputs!$B$57*MAX(B28,0)))</f>
        <v>0</v>
      </c>
      <c r="M28" s="25">
        <f>F28+L28</f>
        <v>5338734.7341373125</v>
      </c>
      <c r="N28" s="25">
        <f>P27</f>
        <v>0</v>
      </c>
      <c r="O28" s="25">
        <f>MAX(0,D28-N28)</f>
        <v>5338734.7341373051</v>
      </c>
      <c r="P28" s="25">
        <f>MAX(0,N28-D28)</f>
        <v>0</v>
      </c>
      <c r="Q28" s="25">
        <f>O28*J28</f>
        <v>1067746.946827461</v>
      </c>
    </row>
    <row r="29" spans="1:17" ht="15" customHeight="1">
      <c r="A29" s="60">
        <v>2050</v>
      </c>
      <c r="B29" s="25">
        <f>Cashflow!D29</f>
        <v>5740749.3053402007</v>
      </c>
      <c r="C29" s="25">
        <f>Inputs!$B$56*(SUM(Cashflow!$E$5:E28)-SUM($C$5:C28))*Production!M29</f>
        <v>99154.143282246441</v>
      </c>
      <c r="D29" s="25">
        <f>B29-C29</f>
        <v>5641595.1620579539</v>
      </c>
      <c r="E29" s="25">
        <f>Financing!E38</f>
        <v>-7.550697773694992E-9</v>
      </c>
      <c r="F29" s="25">
        <f>D29-E29</f>
        <v>5641595.1620579613</v>
      </c>
      <c r="G29" s="25">
        <f>I28</f>
        <v>8605655.4374793135</v>
      </c>
      <c r="H29" s="25">
        <f>MAX(0,M29-G29)</f>
        <v>0</v>
      </c>
      <c r="I29" s="25">
        <f>MAX(0,G29-M29)</f>
        <v>2964060.2754213521</v>
      </c>
      <c r="J29" s="18">
        <f>Inputs!B29</f>
        <v>0.2</v>
      </c>
      <c r="K29" s="25">
        <f>H29*J29</f>
        <v>0</v>
      </c>
      <c r="L29" s="25">
        <f>E29-MIN(E29,MAX(Inputs!$B$58,Inputs!$B$57*MAX(B29,0)))</f>
        <v>0</v>
      </c>
      <c r="M29" s="25">
        <f>F29+L29</f>
        <v>5641595.1620579613</v>
      </c>
      <c r="N29" s="25">
        <f>P28</f>
        <v>0</v>
      </c>
      <c r="O29" s="25">
        <f>MAX(0,D29-N29)</f>
        <v>5641595.1620579539</v>
      </c>
      <c r="P29" s="25">
        <f>MAX(0,N29-D29)</f>
        <v>0</v>
      </c>
      <c r="Q29" s="25">
        <f>O29*J29</f>
        <v>1128319.0324115909</v>
      </c>
    </row>
    <row r="30" spans="1:17" ht="15" customHeight="1">
      <c r="A30" s="60">
        <v>2051</v>
      </c>
      <c r="B30" s="25">
        <f>Cashflow!D30</f>
        <v>5855564.2914470052</v>
      </c>
      <c r="C30" s="25">
        <f>Inputs!$B$56*(SUM(Cashflow!$E$5:E29)-SUM($C$5:C29))*Production!M30</f>
        <v>75852.919610921293</v>
      </c>
      <c r="D30" s="25">
        <f>B30-C30</f>
        <v>5779711.3718360839</v>
      </c>
      <c r="E30" s="25">
        <f>Financing!E39</f>
        <v>-7.550697773694992E-9</v>
      </c>
      <c r="F30" s="25">
        <f>D30-E30</f>
        <v>5779711.3718360914</v>
      </c>
      <c r="G30" s="25">
        <f>I29</f>
        <v>2964060.2754213521</v>
      </c>
      <c r="H30" s="25">
        <f>MAX(0,M30-G30)</f>
        <v>2815651.0964147393</v>
      </c>
      <c r="I30" s="25">
        <f>MAX(0,G30-M30)</f>
        <v>0</v>
      </c>
      <c r="J30" s="18">
        <f>Inputs!B29</f>
        <v>0.2</v>
      </c>
      <c r="K30" s="25">
        <f>H30*J30</f>
        <v>563130.21928294783</v>
      </c>
      <c r="L30" s="25">
        <f>E30-MIN(E30,MAX(Inputs!$B$58,Inputs!$B$57*MAX(B30,0)))</f>
        <v>0</v>
      </c>
      <c r="M30" s="25">
        <f>F30+L30</f>
        <v>5779711.3718360914</v>
      </c>
      <c r="N30" s="25">
        <f>P29</f>
        <v>0</v>
      </c>
      <c r="O30" s="25">
        <f>MAX(0,D30-N30)</f>
        <v>5779711.3718360839</v>
      </c>
      <c r="P30" s="25">
        <f>MAX(0,N30-D30)</f>
        <v>0</v>
      </c>
      <c r="Q30" s="25">
        <f>O30*J30</f>
        <v>1155942.2743672167</v>
      </c>
    </row>
    <row r="31" spans="1:17" ht="15" customHeight="1">
      <c r="A31" s="60">
        <v>2052</v>
      </c>
      <c r="B31" s="25">
        <f>Cashflow!D31</f>
        <v>6009211.7835237095</v>
      </c>
      <c r="C31" s="25">
        <f>Inputs!$B$56*(SUM(Cashflow!$E$5:E30)-SUM($C$5:C30))*Production!M31</f>
        <v>58027.483502355659</v>
      </c>
      <c r="D31" s="25">
        <f>B31-C31</f>
        <v>5951184.3000213541</v>
      </c>
      <c r="E31" s="25">
        <f>Financing!E40</f>
        <v>-7.550697773694992E-9</v>
      </c>
      <c r="F31" s="25">
        <f>D31-E31</f>
        <v>5951184.3000213616</v>
      </c>
      <c r="G31" s="25">
        <f>I30</f>
        <v>0</v>
      </c>
      <c r="H31" s="25">
        <f>MAX(0,M31-G31)</f>
        <v>5951184.3000213616</v>
      </c>
      <c r="I31" s="25">
        <f>MAX(0,G31-M31)</f>
        <v>0</v>
      </c>
      <c r="J31" s="18">
        <f>Inputs!B29</f>
        <v>0.2</v>
      </c>
      <c r="K31" s="25">
        <f>H31*J31</f>
        <v>1190236.8600042723</v>
      </c>
      <c r="L31" s="25">
        <f>E31-MIN(E31,MAX(Inputs!$B$58,Inputs!$B$57*MAX(B31,0)))</f>
        <v>0</v>
      </c>
      <c r="M31" s="25">
        <f>F31+L31</f>
        <v>5951184.3000213616</v>
      </c>
      <c r="N31" s="25">
        <f>P30</f>
        <v>0</v>
      </c>
      <c r="O31" s="25">
        <f>MAX(0,D31-N31)</f>
        <v>5951184.3000213541</v>
      </c>
      <c r="P31" s="25">
        <f>MAX(0,N31-D31)</f>
        <v>0</v>
      </c>
      <c r="Q31" s="25">
        <f>O31*J31</f>
        <v>1190236.8600042709</v>
      </c>
    </row>
    <row r="32" spans="1:17" ht="15" customHeight="1">
      <c r="A32" s="60">
        <v>2053</v>
      </c>
      <c r="B32" s="25">
        <f>Cashflow!D32</f>
        <v>0</v>
      </c>
      <c r="C32" s="25">
        <f>Inputs!$B$56*(SUM(Cashflow!$E$5:E31)-SUM($C$5:C31))*Production!M32</f>
        <v>0</v>
      </c>
      <c r="D32" s="25">
        <f>B32-C32</f>
        <v>0</v>
      </c>
      <c r="E32" s="25">
        <f>Financing!E41</f>
        <v>-7.550697773694992E-9</v>
      </c>
      <c r="F32" s="25">
        <f>D32-E32</f>
        <v>7.550697773694992E-9</v>
      </c>
      <c r="G32" s="25">
        <f>I31</f>
        <v>0</v>
      </c>
      <c r="H32" s="25">
        <f>MAX(0,M32-G32)</f>
        <v>7.550697773694992E-9</v>
      </c>
      <c r="I32" s="25">
        <f>MAX(0,G32-M32)</f>
        <v>0</v>
      </c>
      <c r="J32" s="18">
        <f>Inputs!B29</f>
        <v>0.2</v>
      </c>
      <c r="K32" s="25">
        <f>H32*J32</f>
        <v>1.5101395547389986E-9</v>
      </c>
      <c r="L32" s="25">
        <f>E32-MIN(E32,MAX(Inputs!$B$58,Inputs!$B$57*MAX(B32,0)))</f>
        <v>0</v>
      </c>
      <c r="M32" s="25">
        <f>F32+L32</f>
        <v>7.550697773694992E-9</v>
      </c>
      <c r="N32" s="25">
        <f>P31</f>
        <v>0</v>
      </c>
      <c r="O32" s="25">
        <f>MAX(0,D32-N32)</f>
        <v>0</v>
      </c>
      <c r="P32" s="25">
        <f>MAX(0,N32-D32)</f>
        <v>0</v>
      </c>
      <c r="Q32" s="25">
        <f>O32*J32</f>
        <v>0</v>
      </c>
    </row>
    <row r="33" spans="1:17" ht="15" customHeight="1">
      <c r="A33" s="60">
        <v>2054</v>
      </c>
      <c r="B33" s="25">
        <f>Cashflow!D33</f>
        <v>0</v>
      </c>
      <c r="C33" s="25">
        <f>Inputs!$B$56*(SUM(Cashflow!$E$5:E32)-SUM($C$5:C32))*Production!M33</f>
        <v>0</v>
      </c>
      <c r="D33" s="25">
        <f>B33-C33</f>
        <v>0</v>
      </c>
      <c r="E33" s="25">
        <f>Financing!E42</f>
        <v>-7.550697773694992E-9</v>
      </c>
      <c r="F33" s="25">
        <f>D33-E33</f>
        <v>7.550697773694992E-9</v>
      </c>
      <c r="G33" s="25">
        <f>I32</f>
        <v>0</v>
      </c>
      <c r="H33" s="25">
        <f>MAX(0,M33-G33)</f>
        <v>7.550697773694992E-9</v>
      </c>
      <c r="I33" s="25">
        <f>MAX(0,G33-M33)</f>
        <v>0</v>
      </c>
      <c r="J33" s="18">
        <f>Inputs!B29</f>
        <v>0.2</v>
      </c>
      <c r="K33" s="25">
        <f>H33*J33</f>
        <v>1.5101395547389986E-9</v>
      </c>
      <c r="L33" s="25">
        <f>E33-MIN(E33,MAX(Inputs!$B$58,Inputs!$B$57*MAX(B33,0)))</f>
        <v>0</v>
      </c>
      <c r="M33" s="25">
        <f>F33+L33</f>
        <v>7.550697773694992E-9</v>
      </c>
      <c r="N33" s="25">
        <f>P32</f>
        <v>0</v>
      </c>
      <c r="O33" s="25">
        <f>MAX(0,D33-N33)</f>
        <v>0</v>
      </c>
      <c r="P33" s="25">
        <f>MAX(0,N33-D33)</f>
        <v>0</v>
      </c>
      <c r="Q33" s="25">
        <f>O33*J33</f>
        <v>0</v>
      </c>
    </row>
    <row r="34" spans="1:17" ht="15" customHeight="1">
      <c r="A34" s="60">
        <v>2055</v>
      </c>
      <c r="B34" s="25">
        <f>Cashflow!D34</f>
        <v>0</v>
      </c>
      <c r="C34" s="25">
        <f>Inputs!$B$56*(SUM(Cashflow!$E$5:E33)-SUM($C$5:C33))*Production!M34</f>
        <v>0</v>
      </c>
      <c r="D34" s="25">
        <f>B34-C34</f>
        <v>0</v>
      </c>
      <c r="E34" s="25">
        <f>Financing!E43</f>
        <v>-7.550697773694992E-9</v>
      </c>
      <c r="F34" s="25">
        <f>D34-E34</f>
        <v>7.550697773694992E-9</v>
      </c>
      <c r="G34" s="25">
        <f>I33</f>
        <v>0</v>
      </c>
      <c r="H34" s="25">
        <f>MAX(0,M34-G34)</f>
        <v>7.550697773694992E-9</v>
      </c>
      <c r="I34" s="25">
        <f>MAX(0,G34-M34)</f>
        <v>0</v>
      </c>
      <c r="J34" s="18">
        <f>Inputs!B29</f>
        <v>0.2</v>
      </c>
      <c r="K34" s="25">
        <f>H34*J34</f>
        <v>1.5101395547389986E-9</v>
      </c>
      <c r="L34" s="25">
        <f>E34-MIN(E34,MAX(Inputs!$B$58,Inputs!$B$57*MAX(B34,0)))</f>
        <v>0</v>
      </c>
      <c r="M34" s="25">
        <f>F34+L34</f>
        <v>7.550697773694992E-9</v>
      </c>
      <c r="N34" s="25">
        <f>P33</f>
        <v>0</v>
      </c>
      <c r="O34" s="25">
        <f>MAX(0,D34-N34)</f>
        <v>0</v>
      </c>
      <c r="P34" s="25">
        <f>MAX(0,N34-D34)</f>
        <v>0</v>
      </c>
      <c r="Q34" s="25">
        <f>O34*J34</f>
        <v>0</v>
      </c>
    </row>
    <row r="35" spans="1:17" ht="15" customHeight="1">
      <c r="A35" s="60">
        <v>2056</v>
      </c>
      <c r="B35" s="25">
        <f>Cashflow!D35</f>
        <v>0</v>
      </c>
      <c r="C35" s="25">
        <f>Inputs!$B$56*(SUM(Cashflow!$E$5:E34)-SUM($C$5:C34))*Production!M35</f>
        <v>0</v>
      </c>
      <c r="D35" s="25">
        <f>B35-C35</f>
        <v>0</v>
      </c>
      <c r="E35" s="25">
        <f>Financing!E44</f>
        <v>-7.550697773694992E-9</v>
      </c>
      <c r="F35" s="25">
        <f>D35-E35</f>
        <v>7.550697773694992E-9</v>
      </c>
      <c r="G35" s="25">
        <f>I34</f>
        <v>0</v>
      </c>
      <c r="H35" s="25">
        <f>MAX(0,M35-G35)</f>
        <v>7.550697773694992E-9</v>
      </c>
      <c r="I35" s="25">
        <f>MAX(0,G35-M35)</f>
        <v>0</v>
      </c>
      <c r="J35" s="18">
        <f>Inputs!B29</f>
        <v>0.2</v>
      </c>
      <c r="K35" s="25">
        <f>H35*J35</f>
        <v>1.5101395547389986E-9</v>
      </c>
      <c r="L35" s="25">
        <f>E35-MIN(E35,MAX(Inputs!$B$58,Inputs!$B$57*MAX(B35,0)))</f>
        <v>0</v>
      </c>
      <c r="M35" s="25">
        <f>F35+L35</f>
        <v>7.550697773694992E-9</v>
      </c>
      <c r="N35" s="25">
        <f>P34</f>
        <v>0</v>
      </c>
      <c r="O35" s="25">
        <f>MAX(0,D35-N35)</f>
        <v>0</v>
      </c>
      <c r="P35" s="25">
        <f>MAX(0,N35-D35)</f>
        <v>0</v>
      </c>
      <c r="Q35" s="25">
        <f>O35*J35</f>
        <v>0</v>
      </c>
    </row>
    <row r="36" spans="1:17" ht="15" customHeight="1">
      <c r="A36" s="60">
        <v>2057</v>
      </c>
      <c r="B36" s="25">
        <f>Cashflow!D36</f>
        <v>0</v>
      </c>
      <c r="C36" s="25">
        <f>Inputs!$B$56*(SUM(Cashflow!$E$5:E35)-SUM($C$5:C35))*Production!M36</f>
        <v>0</v>
      </c>
      <c r="D36" s="25">
        <f>B36-C36</f>
        <v>0</v>
      </c>
      <c r="E36" s="25">
        <f>Financing!E45</f>
        <v>-7.550697773694992E-9</v>
      </c>
      <c r="F36" s="25">
        <f>D36-E36</f>
        <v>7.550697773694992E-9</v>
      </c>
      <c r="G36" s="25">
        <f>I35</f>
        <v>0</v>
      </c>
      <c r="H36" s="25">
        <f>MAX(0,M36-G36)</f>
        <v>7.550697773694992E-9</v>
      </c>
      <c r="I36" s="25">
        <f>MAX(0,G36-M36)</f>
        <v>0</v>
      </c>
      <c r="J36" s="18">
        <f>Inputs!$B$29</f>
        <v>0.2</v>
      </c>
      <c r="K36" s="25">
        <f>H36*J36</f>
        <v>1.5101395547389986E-9</v>
      </c>
      <c r="L36" s="25">
        <f>E36-MIN(E36,MAX(Inputs!$B$58,Inputs!$B$57*MAX(B36,0)))</f>
        <v>0</v>
      </c>
      <c r="M36" s="25">
        <f>F36+L36</f>
        <v>7.550697773694992E-9</v>
      </c>
      <c r="N36" s="25">
        <f>P35</f>
        <v>0</v>
      </c>
      <c r="O36" s="25">
        <f>MAX(0,D36-N36)</f>
        <v>0</v>
      </c>
      <c r="P36" s="25">
        <f>MAX(0,N36-D36)</f>
        <v>0</v>
      </c>
      <c r="Q36" s="25">
        <f>O36*J36</f>
        <v>0</v>
      </c>
    </row>
    <row r="37" spans="1:17" ht="409.5" customHeight="1">
      <c r="A37" s="60">
        <v>2058</v>
      </c>
      <c r="B37" s="25">
        <f>Cashflow!D37</f>
        <v>0</v>
      </c>
      <c r="C37" s="25">
        <f>Inputs!$B$56*(SUM(Cashflow!$E$5:E36)-SUM($C$5:C36))*Production!M37</f>
        <v>0</v>
      </c>
      <c r="D37" s="25">
        <f>B37-C37</f>
        <v>0</v>
      </c>
      <c r="E37" s="25">
        <f>Financing!E46</f>
        <v>-7.550697773694992E-9</v>
      </c>
      <c r="F37" s="25">
        <f>D37-E37</f>
        <v>7.550697773694992E-9</v>
      </c>
      <c r="G37" s="25">
        <f>I36</f>
        <v>0</v>
      </c>
      <c r="H37" s="25">
        <f>MAX(0,M37-G37)</f>
        <v>7.550697773694992E-9</v>
      </c>
      <c r="I37" s="25">
        <f>MAX(0,G37-M37)</f>
        <v>0</v>
      </c>
      <c r="J37" s="18">
        <f>Inputs!$B$29</f>
        <v>0.2</v>
      </c>
      <c r="K37" s="25">
        <f>H37*J37</f>
        <v>1.5101395547389986E-9</v>
      </c>
      <c r="L37" s="25">
        <f>E37-MIN(E37,MAX(Inputs!$B$58,Inputs!$B$57*MAX(B37,0)))</f>
        <v>0</v>
      </c>
      <c r="M37" s="25">
        <f>F37+L37</f>
        <v>7.550697773694992E-9</v>
      </c>
      <c r="N37" s="25">
        <f>P36</f>
        <v>0</v>
      </c>
      <c r="O37" s="25">
        <f>MAX(0,D37-N37)</f>
        <v>0</v>
      </c>
      <c r="P37" s="25">
        <f>MAX(0,N37-D37)</f>
        <v>0</v>
      </c>
      <c r="Q37" s="25">
        <f>O37*J37</f>
        <v>0</v>
      </c>
    </row>
    <row r="39" spans="1:17" ht="409.5" customHeight="1">
      <c r="A39" s="23" t="s">
        <v>335</v>
      </c>
    </row>
  </sheetData>
  <mergeCells count="2">
    <mergeCell ref="A1:K1"/>
    <mergeCell ref="A3:K3"/>
  </mergeCells>
  <pageMargins left="0.75" right="0.75" top="1" bottom="1" header="0.511811023622047" footer="0.5"/>
  <pageSetup fitToHeight="0" orientation="portrait" horizontalDpi="300" verticalDpi="300"/>
  <headerFooter>
    <oddFooter>&amp;CFinnish Onshore Wind Project Finance Model&amp;RPage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7365D"/>
    <pageSetUpPr fitToPage="1"/>
  </sheetPr>
  <dimension ref="A1:O39"/>
  <sheetViews>
    <sheetView showGridLines="0" zoomScaleNormal="100" workbookViewId="0">
      <pane ySplit="4" topLeftCell="A5" activePane="bottomLeft" state="frozen"/>
      <selection pane="bottomLeft" activeCell="D31" sqref="D31"/>
    </sheetView>
  </sheetViews>
  <sheetFormatPr defaultColWidth="8.7109375" defaultRowHeight="15"/>
  <cols>
    <col min="1" max="1" width="12" style="1" customWidth="1"/>
    <col min="2" max="4" width="18" style="1" customWidth="1"/>
    <col min="5" max="5" width="16" style="1" customWidth="1"/>
    <col min="6" max="8" width="18" style="1" customWidth="1"/>
    <col min="9" max="9" width="22" style="1" customWidth="1"/>
    <col min="10" max="14" width="18" style="1" customWidth="1"/>
    <col min="15" max="15" width="16" style="1" customWidth="1"/>
  </cols>
  <sheetData>
    <row r="1" spans="1:15" ht="27.75" customHeight="1">
      <c r="A1" s="63" t="s">
        <v>336</v>
      </c>
      <c r="B1" s="63"/>
      <c r="C1" s="63"/>
      <c r="D1" s="63"/>
      <c r="E1" s="63"/>
      <c r="F1" s="63"/>
      <c r="G1" s="63"/>
      <c r="H1" s="63"/>
      <c r="I1" s="63"/>
      <c r="J1" s="63"/>
      <c r="K1" s="63"/>
      <c r="L1" s="63"/>
    </row>
    <row r="3" spans="1:15" ht="19.5" customHeight="1">
      <c r="A3" s="64" t="s">
        <v>337</v>
      </c>
      <c r="B3" s="64"/>
      <c r="C3" s="64"/>
      <c r="D3" s="64"/>
      <c r="E3" s="64"/>
      <c r="F3" s="64"/>
      <c r="G3" s="64"/>
      <c r="H3" s="64"/>
      <c r="I3" s="64"/>
      <c r="J3" s="64"/>
      <c r="K3" s="64"/>
      <c r="L3" s="64"/>
    </row>
    <row r="4" spans="1:15" ht="27.75" customHeight="1">
      <c r="A4" s="62" t="s">
        <v>238</v>
      </c>
      <c r="B4" s="62" t="s">
        <v>33</v>
      </c>
      <c r="C4" s="62" t="s">
        <v>338</v>
      </c>
      <c r="D4" s="62" t="s">
        <v>286</v>
      </c>
      <c r="E4" s="62" t="s">
        <v>339</v>
      </c>
      <c r="F4" s="62" t="s">
        <v>340</v>
      </c>
      <c r="G4" s="62" t="s">
        <v>310</v>
      </c>
      <c r="H4" s="62" t="s">
        <v>328</v>
      </c>
      <c r="I4" s="62" t="s">
        <v>341</v>
      </c>
      <c r="J4" s="62" t="s">
        <v>342</v>
      </c>
      <c r="K4" s="62" t="s">
        <v>343</v>
      </c>
      <c r="L4" s="62" t="s">
        <v>6</v>
      </c>
      <c r="M4" s="62" t="s">
        <v>334</v>
      </c>
      <c r="N4" s="62" t="s">
        <v>344</v>
      </c>
      <c r="O4" s="62" t="s">
        <v>317</v>
      </c>
    </row>
    <row r="5" spans="1:15" ht="15" customHeight="1">
      <c r="A5" s="60">
        <v>2026</v>
      </c>
      <c r="B5" s="25">
        <f>Revenue!G5</f>
        <v>0</v>
      </c>
      <c r="C5" s="25">
        <f>SUM(Revenue!H5:J5)</f>
        <v>0</v>
      </c>
      <c r="D5" s="25">
        <f>B5-C5</f>
        <v>0</v>
      </c>
      <c r="E5" s="25">
        <f>IF(A5=Inputs!$B$9-1,Financing!$G$5,0)+IF(AND(A5=Inputs!$B$9+Inputs!$B$51,Inputs!$B$51&lt;Inputs!$B$8),Inputs!$B$52*Inputs!$B$15*Inputs!$B$24*1000*Prices!L8,0)+IF(A5=Inputs!$B$9+Inputs!$B$8-1,Inputs!$B$55*Inputs!$B$7*1000*Prices!L8,0)</f>
        <v>0</v>
      </c>
      <c r="F5" s="25">
        <f>D5-H5</f>
        <v>0</v>
      </c>
      <c r="G5" s="25">
        <f>Financing!G14</f>
        <v>0</v>
      </c>
      <c r="H5" s="25">
        <f>Taxes!K5</f>
        <v>0</v>
      </c>
      <c r="I5" s="25">
        <f>D5-M5-E5</f>
        <v>0</v>
      </c>
      <c r="J5" s="25">
        <f>D5-H5-E5-G5+Financing!D14</f>
        <v>0</v>
      </c>
      <c r="K5" s="25">
        <f>J5</f>
        <v>0</v>
      </c>
      <c r="L5" s="60" t="s">
        <v>274</v>
      </c>
      <c r="M5" s="25">
        <f>Taxes!Q5</f>
        <v>0</v>
      </c>
      <c r="N5" s="25">
        <f>D5-M5</f>
        <v>0</v>
      </c>
      <c r="O5" s="21">
        <f>1/(1+Inputs!$B$38)^(A5-$A$5)</f>
        <v>1</v>
      </c>
    </row>
    <row r="6" spans="1:15" ht="15" customHeight="1">
      <c r="A6" s="60">
        <v>2027</v>
      </c>
      <c r="B6" s="25">
        <f>Revenue!G6</f>
        <v>0</v>
      </c>
      <c r="C6" s="25">
        <f>SUM(Revenue!H6:J6)</f>
        <v>0</v>
      </c>
      <c r="D6" s="25">
        <f>B6-C6</f>
        <v>0</v>
      </c>
      <c r="E6" s="25">
        <f>IF(A6=Inputs!$B$9-1,Financing!$G$5,0)+IF(AND(A6=Inputs!$B$9+Inputs!$B$51,Inputs!$B$51&lt;Inputs!$B$8),Inputs!$B$52*Inputs!$B$15*Inputs!$B$24*1000*Prices!L9,0)+IF(A6=Inputs!$B$9+Inputs!$B$8-1,Inputs!$B$55*Inputs!$B$7*1000*Prices!L9,0)</f>
        <v>153000000</v>
      </c>
      <c r="F6" s="25">
        <f>D6-H6</f>
        <v>0</v>
      </c>
      <c r="G6" s="25">
        <f>Financing!G15</f>
        <v>0</v>
      </c>
      <c r="H6" s="25">
        <f>Taxes!K6</f>
        <v>0</v>
      </c>
      <c r="I6" s="25">
        <f>D6-M6-E6</f>
        <v>-153000000</v>
      </c>
      <c r="J6" s="25">
        <f>D6-H6-E6-G6+Financing!D15</f>
        <v>-81578692.208556041</v>
      </c>
      <c r="K6" s="25">
        <f>K5+J6</f>
        <v>-81578692.208556041</v>
      </c>
      <c r="L6" s="60" t="s">
        <v>274</v>
      </c>
      <c r="M6" s="25">
        <f>Taxes!Q6</f>
        <v>0</v>
      </c>
      <c r="N6" s="25">
        <f>D6-M6</f>
        <v>0</v>
      </c>
      <c r="O6" s="21">
        <f>1/(1+Inputs!$B$38)^(A6-$A$5)</f>
        <v>0.94339622641509424</v>
      </c>
    </row>
    <row r="7" spans="1:15" ht="15" customHeight="1">
      <c r="A7" s="60">
        <v>2028</v>
      </c>
      <c r="B7" s="25">
        <f>Revenue!G7</f>
        <v>14603400</v>
      </c>
      <c r="C7" s="25">
        <f>SUM(Revenue!H7:J7)</f>
        <v>4577760</v>
      </c>
      <c r="D7" s="25">
        <f>B7-C7</f>
        <v>10025640</v>
      </c>
      <c r="E7" s="25">
        <f>IF(A7=Inputs!$B$9-1,Financing!$G$5,0)+IF(AND(A7=Inputs!$B$9+Inputs!$B$51,Inputs!$B$51&lt;Inputs!$B$8),Inputs!$B$52*Inputs!$B$15*Inputs!$B$24*1000*Prices!L10,0)+IF(A7=Inputs!$B$9+Inputs!$B$8-1,Inputs!$B$55*Inputs!$B$7*1000*Prices!L10,0)</f>
        <v>0</v>
      </c>
      <c r="F7" s="25">
        <f>D7-H7</f>
        <v>10025640</v>
      </c>
      <c r="G7" s="25">
        <f>Financing!G16</f>
        <v>7712030.769230769</v>
      </c>
      <c r="H7" s="25">
        <f>Taxes!K7</f>
        <v>0</v>
      </c>
      <c r="I7" s="25">
        <f>D7-M7-E7</f>
        <v>10025640</v>
      </c>
      <c r="J7" s="25">
        <f>D7-H7-E7-G7+Financing!D16</f>
        <v>2313609.230769231</v>
      </c>
      <c r="K7" s="25">
        <f>K6+J7</f>
        <v>-79265082.977786809</v>
      </c>
      <c r="L7" s="60" t="s">
        <v>274</v>
      </c>
      <c r="M7" s="25">
        <f>Taxes!Q7</f>
        <v>0</v>
      </c>
      <c r="N7" s="25">
        <f>D7-M7</f>
        <v>10025640</v>
      </c>
      <c r="O7" s="21">
        <f>1/(1+Inputs!$B$38)^(A7-$A$5)</f>
        <v>0.88999644001423983</v>
      </c>
    </row>
    <row r="8" spans="1:15" ht="15" customHeight="1">
      <c r="A8" s="60">
        <v>2029</v>
      </c>
      <c r="B8" s="25">
        <f>Revenue!G8</f>
        <v>14563500</v>
      </c>
      <c r="C8" s="25">
        <f>SUM(Revenue!H8:J8)</f>
        <v>4669315.1999999993</v>
      </c>
      <c r="D8" s="25">
        <f>B8-C8</f>
        <v>9894184.8000000007</v>
      </c>
      <c r="E8" s="25">
        <f>IF(A8=Inputs!$B$9-1,Financing!$G$5,0)+IF(AND(A8=Inputs!$B$9+Inputs!$B$51,Inputs!$B$51&lt;Inputs!$B$8),Inputs!$B$52*Inputs!$B$15*Inputs!$B$24*1000*Prices!L11,0)+IF(A8=Inputs!$B$9+Inputs!$B$8-1,Inputs!$B$55*Inputs!$B$7*1000*Prices!L11,0)</f>
        <v>0</v>
      </c>
      <c r="F8" s="25">
        <f>D8-H8</f>
        <v>9894184.8000000007</v>
      </c>
      <c r="G8" s="25">
        <f>Financing!G17</f>
        <v>7610911.384615385</v>
      </c>
      <c r="H8" s="25">
        <f>Taxes!K8</f>
        <v>0</v>
      </c>
      <c r="I8" s="25">
        <f>D8-M8-E8</f>
        <v>9894184.8000000007</v>
      </c>
      <c r="J8" s="25">
        <f>D8-H8-E8-G8+Financing!D17</f>
        <v>2283273.4153846158</v>
      </c>
      <c r="K8" s="25">
        <f>K7+J8</f>
        <v>-76981809.562402189</v>
      </c>
      <c r="L8" s="60" t="s">
        <v>274</v>
      </c>
      <c r="M8" s="25">
        <f>Taxes!Q8</f>
        <v>0</v>
      </c>
      <c r="N8" s="25">
        <f>D8-M8</f>
        <v>9894184.8000000007</v>
      </c>
      <c r="O8" s="21">
        <f>1/(1+Inputs!$B$38)^(A8-$A$5)</f>
        <v>0.8396192830323016</v>
      </c>
    </row>
    <row r="9" spans="1:15" ht="15" customHeight="1">
      <c r="A9" s="60">
        <v>2030</v>
      </c>
      <c r="B9" s="25">
        <f>Revenue!G9</f>
        <v>14563500</v>
      </c>
      <c r="C9" s="25">
        <f>SUM(Revenue!H9:J9)</f>
        <v>4762701.5039999997</v>
      </c>
      <c r="D9" s="25">
        <f>B9-C9</f>
        <v>9800798.4959999993</v>
      </c>
      <c r="E9" s="25">
        <f>IF(A9=Inputs!$B$9-1,Financing!$G$5,0)+IF(AND(A9=Inputs!$B$9+Inputs!$B$51,Inputs!$B$51&lt;Inputs!$B$8),Inputs!$B$52*Inputs!$B$15*Inputs!$B$24*1000*Prices!L12,0)+IF(A9=Inputs!$B$9+Inputs!$B$8-1,Inputs!$B$55*Inputs!$B$7*1000*Prices!L12,0)</f>
        <v>0</v>
      </c>
      <c r="F9" s="25">
        <f>D9-H9</f>
        <v>9800798.4959999993</v>
      </c>
      <c r="G9" s="25">
        <f>Financing!G18</f>
        <v>7539075.766153845</v>
      </c>
      <c r="H9" s="25">
        <f>Taxes!K9</f>
        <v>0</v>
      </c>
      <c r="I9" s="25">
        <f>D9-M9-E9</f>
        <v>9800798.4959999993</v>
      </c>
      <c r="J9" s="25">
        <f>D9-H9-E9-G9+Financing!D18</f>
        <v>2261722.7298461543</v>
      </c>
      <c r="K9" s="25">
        <f>K8+J9</f>
        <v>-74720086.832556039</v>
      </c>
      <c r="L9" s="60" t="s">
        <v>274</v>
      </c>
      <c r="M9" s="25">
        <f>Taxes!Q9</f>
        <v>0</v>
      </c>
      <c r="N9" s="25">
        <f>D9-M9</f>
        <v>9800798.4959999993</v>
      </c>
      <c r="O9" s="21">
        <f>1/(1+Inputs!$B$38)^(A9-$A$5)</f>
        <v>0.79209366323802044</v>
      </c>
    </row>
    <row r="10" spans="1:15" ht="15" customHeight="1">
      <c r="A10" s="60">
        <v>2031</v>
      </c>
      <c r="B10" s="25">
        <f>Revenue!G10</f>
        <v>14563500</v>
      </c>
      <c r="C10" s="25">
        <f>SUM(Revenue!H10:J10)</f>
        <v>4857955.5340800006</v>
      </c>
      <c r="D10" s="25">
        <f>B10-C10</f>
        <v>9705544.4659199994</v>
      </c>
      <c r="E10" s="25">
        <f>IF(A10=Inputs!$B$9-1,Financing!$G$5,0)+IF(AND(A10=Inputs!$B$9+Inputs!$B$51,Inputs!$B$51&lt;Inputs!$B$8),Inputs!$B$52*Inputs!$B$15*Inputs!$B$24*1000*Prices!L13,0)+IF(A10=Inputs!$B$9+Inputs!$B$8-1,Inputs!$B$55*Inputs!$B$7*1000*Prices!L13,0)</f>
        <v>0</v>
      </c>
      <c r="F10" s="25">
        <f>D10-H10</f>
        <v>9705544.4659199994</v>
      </c>
      <c r="G10" s="25">
        <f>Financing!G19</f>
        <v>7465803.4353230763</v>
      </c>
      <c r="H10" s="25">
        <f>Taxes!K10</f>
        <v>0</v>
      </c>
      <c r="I10" s="25">
        <f>D10-M10-E10</f>
        <v>9705544.4659199994</v>
      </c>
      <c r="J10" s="25">
        <f>D10-H10-E10-G10+Financing!D19</f>
        <v>2239741.0305969231</v>
      </c>
      <c r="K10" s="25">
        <f>K9+J10</f>
        <v>-72480345.801959112</v>
      </c>
      <c r="L10" s="60" t="s">
        <v>274</v>
      </c>
      <c r="M10" s="25">
        <f>Taxes!Q10</f>
        <v>0</v>
      </c>
      <c r="N10" s="25">
        <f>D10-M10</f>
        <v>9705544.4659199994</v>
      </c>
      <c r="O10" s="21">
        <f>1/(1+Inputs!$B$38)^(A10-$A$5)</f>
        <v>0.74725817286605689</v>
      </c>
    </row>
    <row r="11" spans="1:15" ht="15" customHeight="1">
      <c r="A11" s="60">
        <v>2032</v>
      </c>
      <c r="B11" s="25">
        <f>Revenue!G11</f>
        <v>14603400</v>
      </c>
      <c r="C11" s="25">
        <f>SUM(Revenue!H11:J11)</f>
        <v>4955114.6447616005</v>
      </c>
      <c r="D11" s="25">
        <f>B11-C11</f>
        <v>9648285.3552384004</v>
      </c>
      <c r="E11" s="25">
        <f>IF(A11=Inputs!$B$9-1,Financing!$G$5,0)+IF(AND(A11=Inputs!$B$9+Inputs!$B$51,Inputs!$B$51&lt;Inputs!$B$8),Inputs!$B$52*Inputs!$B$15*Inputs!$B$24*1000*Prices!L14,0)+IF(A11=Inputs!$B$9+Inputs!$B$8-1,Inputs!$B$55*Inputs!$B$7*1000*Prices!L14,0)</f>
        <v>0</v>
      </c>
      <c r="F11" s="25">
        <f>D11-H11</f>
        <v>9648285.3552384004</v>
      </c>
      <c r="G11" s="25">
        <f>Financing!G20</f>
        <v>7421757.9655680005</v>
      </c>
      <c r="H11" s="25">
        <f>Taxes!K11</f>
        <v>0</v>
      </c>
      <c r="I11" s="25">
        <f>D11-M11-E11</f>
        <v>9648285.3552384004</v>
      </c>
      <c r="J11" s="25">
        <f>D11-H11-E11-G11+Financing!D20</f>
        <v>2226527.3896703999</v>
      </c>
      <c r="K11" s="25">
        <f>K10+J11</f>
        <v>-70253818.41228871</v>
      </c>
      <c r="L11" s="60" t="s">
        <v>274</v>
      </c>
      <c r="M11" s="25">
        <f>Taxes!Q11</f>
        <v>0</v>
      </c>
      <c r="N11" s="25">
        <f>D11-M11</f>
        <v>9648285.3552384004</v>
      </c>
      <c r="O11" s="21">
        <f>1/(1+Inputs!$B$38)^(A11-$A$5)</f>
        <v>0.70496054043967626</v>
      </c>
    </row>
    <row r="12" spans="1:15" ht="15" customHeight="1">
      <c r="A12" s="60">
        <v>2033</v>
      </c>
      <c r="B12" s="25">
        <f>Revenue!G12</f>
        <v>14563500</v>
      </c>
      <c r="C12" s="25">
        <f>SUM(Revenue!H12:J12)</f>
        <v>5054216.937656831</v>
      </c>
      <c r="D12" s="25">
        <f>B12-C12</f>
        <v>9509283.062343169</v>
      </c>
      <c r="E12" s="25">
        <f>IF(A12=Inputs!$B$9-1,Financing!$G$5,0)+IF(AND(A12=Inputs!$B$9+Inputs!$B$51,Inputs!$B$51&lt;Inputs!$B$8),Inputs!$B$52*Inputs!$B$15*Inputs!$B$24*1000*Prices!L15,0)+IF(A12=Inputs!$B$9+Inputs!$B$8-1,Inputs!$B$55*Inputs!$B$7*1000*Prices!L15,0)</f>
        <v>0</v>
      </c>
      <c r="F12" s="25">
        <f>D12-H12</f>
        <v>9509283.062343169</v>
      </c>
      <c r="G12" s="25">
        <f>Financing!G21</f>
        <v>7314833.1248793602</v>
      </c>
      <c r="H12" s="25">
        <f>Taxes!K12</f>
        <v>0</v>
      </c>
      <c r="I12" s="25">
        <f>D12-M12-E12</f>
        <v>9509283.062343169</v>
      </c>
      <c r="J12" s="25">
        <f>D12-H12-E12-G12+Financing!D21</f>
        <v>2194449.9374638088</v>
      </c>
      <c r="K12" s="25">
        <f>K11+J12</f>
        <v>-68059368.474824905</v>
      </c>
      <c r="L12" s="60" t="s">
        <v>274</v>
      </c>
      <c r="M12" s="25">
        <f>Taxes!Q12</f>
        <v>0</v>
      </c>
      <c r="N12" s="25">
        <f>D12-M12</f>
        <v>9509283.062343169</v>
      </c>
      <c r="O12" s="21">
        <f>1/(1+Inputs!$B$38)^(A12-$A$5)</f>
        <v>0.66505711362233599</v>
      </c>
    </row>
    <row r="13" spans="1:15" ht="15" customHeight="1">
      <c r="A13" s="60">
        <v>2034</v>
      </c>
      <c r="B13" s="25">
        <f>Revenue!G13</f>
        <v>14563500</v>
      </c>
      <c r="C13" s="25">
        <f>SUM(Revenue!H13:J13)</f>
        <v>5155301.2764099687</v>
      </c>
      <c r="D13" s="25">
        <f>B13-C13</f>
        <v>9408198.7235900313</v>
      </c>
      <c r="E13" s="25">
        <f>IF(A13=Inputs!$B$9-1,Financing!$G$5,0)+IF(AND(A13=Inputs!$B$9+Inputs!$B$51,Inputs!$B$51&lt;Inputs!$B$8),Inputs!$B$52*Inputs!$B$15*Inputs!$B$24*1000*Prices!L16,0)+IF(A13=Inputs!$B$9+Inputs!$B$8-1,Inputs!$B$55*Inputs!$B$7*1000*Prices!L16,0)</f>
        <v>0</v>
      </c>
      <c r="F13" s="25">
        <f>D13-H13</f>
        <v>9408198.7235900313</v>
      </c>
      <c r="G13" s="25">
        <f>Financing!G22</f>
        <v>7237075.9412230998</v>
      </c>
      <c r="H13" s="25">
        <f>Taxes!K13</f>
        <v>0</v>
      </c>
      <c r="I13" s="25">
        <f>D13-M13-E13</f>
        <v>9408198.7235900313</v>
      </c>
      <c r="J13" s="25">
        <f>D13-H13-E13-G13+Financing!D22</f>
        <v>2171122.7823669314</v>
      </c>
      <c r="K13" s="25">
        <f>K12+J13</f>
        <v>-65888245.692457974</v>
      </c>
      <c r="L13" s="60" t="s">
        <v>274</v>
      </c>
      <c r="M13" s="25">
        <f>Taxes!Q13</f>
        <v>0</v>
      </c>
      <c r="N13" s="25">
        <f>D13-M13</f>
        <v>9408198.7235900313</v>
      </c>
      <c r="O13" s="21">
        <f>1/(1+Inputs!$B$38)^(A13-$A$5)</f>
        <v>0.62741237134182648</v>
      </c>
    </row>
    <row r="14" spans="1:15" ht="15" customHeight="1">
      <c r="A14" s="60">
        <v>2035</v>
      </c>
      <c r="B14" s="25">
        <f>Revenue!G14</f>
        <v>14563500</v>
      </c>
      <c r="C14" s="25">
        <f>SUM(Revenue!H14:J14)</f>
        <v>5258407.3019381678</v>
      </c>
      <c r="D14" s="25">
        <f>B14-C14</f>
        <v>9305092.6980618313</v>
      </c>
      <c r="E14" s="25">
        <f>IF(A14=Inputs!$B$9-1,Financing!$G$5,0)+IF(AND(A14=Inputs!$B$9+Inputs!$B$51,Inputs!$B$51&lt;Inputs!$B$8),Inputs!$B$52*Inputs!$B$15*Inputs!$B$24*1000*Prices!L17,0)+IF(A14=Inputs!$B$9+Inputs!$B$8-1,Inputs!$B$55*Inputs!$B$7*1000*Prices!L17,0)</f>
        <v>0</v>
      </c>
      <c r="F14" s="25">
        <f>D14-H14</f>
        <v>9305092.6980618313</v>
      </c>
      <c r="G14" s="25">
        <f>Financing!G23</f>
        <v>7157763.6138937157</v>
      </c>
      <c r="H14" s="25">
        <f>Taxes!K14</f>
        <v>0</v>
      </c>
      <c r="I14" s="25">
        <f>D14-M14-E14</f>
        <v>9305092.6980618313</v>
      </c>
      <c r="J14" s="25">
        <f>D14-H14-E14-G14+Financing!D23</f>
        <v>2147329.0841681156</v>
      </c>
      <c r="K14" s="25">
        <f>K13+J14</f>
        <v>-63740916.60828986</v>
      </c>
      <c r="L14" s="60" t="s">
        <v>274</v>
      </c>
      <c r="M14" s="25">
        <f>Taxes!Q14</f>
        <v>0</v>
      </c>
      <c r="N14" s="25">
        <f>D14-M14</f>
        <v>9305092.6980618313</v>
      </c>
      <c r="O14" s="21">
        <f>1/(1+Inputs!$B$38)^(A14-$A$5)</f>
        <v>0.59189846353002495</v>
      </c>
    </row>
    <row r="15" spans="1:15" ht="15" customHeight="1">
      <c r="A15" s="60">
        <v>2036</v>
      </c>
      <c r="B15" s="25">
        <f>Revenue!G15</f>
        <v>14603400</v>
      </c>
      <c r="C15" s="25">
        <f>SUM(Revenue!H15:J15)</f>
        <v>5363575.447976931</v>
      </c>
      <c r="D15" s="25">
        <f>B15-C15</f>
        <v>9239824.5520230681</v>
      </c>
      <c r="E15" s="25">
        <f>IF(A15=Inputs!$B$9-1,Financing!$G$5,0)+IF(AND(A15=Inputs!$B$9+Inputs!$B$51,Inputs!$B$51&lt;Inputs!$B$8),Inputs!$B$52*Inputs!$B$15*Inputs!$B$24*1000*Prices!L18,0)+IF(A15=Inputs!$B$9+Inputs!$B$8-1,Inputs!$B$55*Inputs!$B$7*1000*Prices!L18,0)</f>
        <v>0</v>
      </c>
      <c r="F15" s="25">
        <f>D15-H15</f>
        <v>9239824.5520230681</v>
      </c>
      <c r="G15" s="25">
        <f>Financing!G24</f>
        <v>7107557.3477100525</v>
      </c>
      <c r="H15" s="25">
        <f>Taxes!K15</f>
        <v>0</v>
      </c>
      <c r="I15" s="25">
        <f>D15-M15-E15</f>
        <v>9239824.5520230681</v>
      </c>
      <c r="J15" s="25">
        <f>D15-H15-E15-G15+Financing!D24</f>
        <v>2132267.2043130156</v>
      </c>
      <c r="K15" s="25">
        <f>K14+J15</f>
        <v>-61608649.403976843</v>
      </c>
      <c r="L15" s="60" t="s">
        <v>274</v>
      </c>
      <c r="M15" s="25">
        <f>Taxes!Q15</f>
        <v>0</v>
      </c>
      <c r="N15" s="25">
        <f>D15-M15</f>
        <v>9239824.5520230681</v>
      </c>
      <c r="O15" s="21">
        <f>1/(1+Inputs!$B$38)^(A15-$A$5)</f>
        <v>0.55839477691511785</v>
      </c>
    </row>
    <row r="16" spans="1:15" ht="15" customHeight="1">
      <c r="A16" s="60">
        <v>2037</v>
      </c>
      <c r="B16" s="25">
        <f>Revenue!G16</f>
        <v>14563500</v>
      </c>
      <c r="C16" s="25">
        <f>SUM(Revenue!H16:J16)</f>
        <v>5470846.9569364684</v>
      </c>
      <c r="D16" s="25">
        <f>B16-C16</f>
        <v>9092653.0430635326</v>
      </c>
      <c r="E16" s="25">
        <f>IF(A16=Inputs!$B$9-1,Financing!$G$5,0)+IF(AND(A16=Inputs!$B$9+Inputs!$B$51,Inputs!$B$51&lt;Inputs!$B$8),Inputs!$B$52*Inputs!$B$15*Inputs!$B$24*1000*Prices!L19,0)+IF(A16=Inputs!$B$9+Inputs!$B$8-1,Inputs!$B$55*Inputs!$B$7*1000*Prices!L19,0)</f>
        <v>0</v>
      </c>
      <c r="F16" s="25">
        <f>D16-H16</f>
        <v>9092653.0430635326</v>
      </c>
      <c r="G16" s="25">
        <f>Financing!G25</f>
        <v>6994348.4946642555</v>
      </c>
      <c r="H16" s="25">
        <f>Taxes!K16</f>
        <v>0</v>
      </c>
      <c r="I16" s="25">
        <f>D16-M16-E16</f>
        <v>9092653.0430635326</v>
      </c>
      <c r="J16" s="25">
        <f>D16-H16-E16-G16+Financing!D25</f>
        <v>2098304.548399277</v>
      </c>
      <c r="K16" s="25">
        <f>K15+J16</f>
        <v>-59510344.855577566</v>
      </c>
      <c r="L16" s="60" t="s">
        <v>274</v>
      </c>
      <c r="M16" s="25">
        <f>Taxes!Q16</f>
        <v>0</v>
      </c>
      <c r="N16" s="25">
        <f>D16-M16</f>
        <v>9092653.0430635326</v>
      </c>
      <c r="O16" s="21">
        <f>1/(1+Inputs!$B$38)^(A16-$A$5)</f>
        <v>0.52678752539162055</v>
      </c>
    </row>
    <row r="17" spans="1:15" ht="15" customHeight="1">
      <c r="A17" s="60">
        <v>2038</v>
      </c>
      <c r="B17" s="25">
        <f>Revenue!G17</f>
        <v>14563500</v>
      </c>
      <c r="C17" s="25">
        <f>SUM(Revenue!H17:J17)</f>
        <v>5580263.8960751984</v>
      </c>
      <c r="D17" s="25">
        <f>B17-C17</f>
        <v>8983236.1039248016</v>
      </c>
      <c r="E17" s="25">
        <f>IF(A17=Inputs!$B$9-1,Financing!$G$5,0)+IF(AND(A17=Inputs!$B$9+Inputs!$B$51,Inputs!$B$51&lt;Inputs!$B$8),Inputs!$B$52*Inputs!$B$15*Inputs!$B$24*1000*Prices!L20,0)+IF(A17=Inputs!$B$9+Inputs!$B$8-1,Inputs!$B$55*Inputs!$B$7*1000*Prices!L20,0)</f>
        <v>0</v>
      </c>
      <c r="F17" s="25">
        <f>D17-H17</f>
        <v>8983236.1039248016</v>
      </c>
      <c r="G17" s="25">
        <f>Financing!G26</f>
        <v>6910181.6184036937</v>
      </c>
      <c r="H17" s="25">
        <f>Taxes!K17</f>
        <v>0</v>
      </c>
      <c r="I17" s="25">
        <f>D17-M17-E17</f>
        <v>8983236.1039248016</v>
      </c>
      <c r="J17" s="25">
        <f>D17-H17-E17-G17+Financing!D26</f>
        <v>2073054.4855211079</v>
      </c>
      <c r="K17" s="25">
        <f>K16+J17</f>
        <v>-57437290.370056458</v>
      </c>
      <c r="L17" s="60" t="s">
        <v>274</v>
      </c>
      <c r="M17" s="25">
        <f>Taxes!Q17</f>
        <v>0</v>
      </c>
      <c r="N17" s="25">
        <f>D17-M17</f>
        <v>8983236.1039248016</v>
      </c>
      <c r="O17" s="21">
        <f>1/(1+Inputs!$B$38)^(A17-$A$5)</f>
        <v>0.4969693635770005</v>
      </c>
    </row>
    <row r="18" spans="1:15" ht="15" customHeight="1">
      <c r="A18" s="60">
        <v>2039</v>
      </c>
      <c r="B18" s="25">
        <f>Revenue!G18</f>
        <v>14563500</v>
      </c>
      <c r="C18" s="25">
        <f>SUM(Revenue!H18:J18)</f>
        <v>5691869.1739967037</v>
      </c>
      <c r="D18" s="25">
        <f>B18-C18</f>
        <v>8871630.8260032963</v>
      </c>
      <c r="E18" s="25">
        <f>IF(A18=Inputs!$B$9-1,Financing!$G$5,0)+IF(AND(A18=Inputs!$B$9+Inputs!$B$51,Inputs!$B$51&lt;Inputs!$B$8),Inputs!$B$52*Inputs!$B$15*Inputs!$B$24*1000*Prices!L21,0)+IF(A18=Inputs!$B$9+Inputs!$B$8-1,Inputs!$B$55*Inputs!$B$7*1000*Prices!L21,0)</f>
        <v>0</v>
      </c>
      <c r="F18" s="25">
        <f>D18-H18</f>
        <v>8871630.8260032963</v>
      </c>
      <c r="G18" s="25">
        <f>Financing!G27</f>
        <v>6824331.4046179196</v>
      </c>
      <c r="H18" s="25">
        <f>Taxes!K18</f>
        <v>0</v>
      </c>
      <c r="I18" s="25">
        <f>D18-M18-E18</f>
        <v>8871630.8260032963</v>
      </c>
      <c r="J18" s="25">
        <f>D18-H18-E18-G18+Financing!D27</f>
        <v>2047299.4213853767</v>
      </c>
      <c r="K18" s="25">
        <f>K17+J18</f>
        <v>-55389990.94867108</v>
      </c>
      <c r="L18" s="60" t="s">
        <v>274</v>
      </c>
      <c r="M18" s="25">
        <f>Taxes!Q18</f>
        <v>0</v>
      </c>
      <c r="N18" s="25">
        <f>D18-M18</f>
        <v>8871630.8260032963</v>
      </c>
      <c r="O18" s="21">
        <f>1/(1+Inputs!$B$38)^(A18-$A$5)</f>
        <v>0.46883902224245327</v>
      </c>
    </row>
    <row r="19" spans="1:15" ht="15" customHeight="1">
      <c r="A19" s="60">
        <v>2040</v>
      </c>
      <c r="B19" s="25">
        <f>Revenue!G19</f>
        <v>14603400</v>
      </c>
      <c r="C19" s="25">
        <f>SUM(Revenue!H19:J19)</f>
        <v>5805706.557476637</v>
      </c>
      <c r="D19" s="25">
        <f>B19-C19</f>
        <v>8797693.442523364</v>
      </c>
      <c r="E19" s="25">
        <f>IF(A19=Inputs!$B$9-1,Financing!$G$5,0)+IF(AND(A19=Inputs!$B$9+Inputs!$B$51,Inputs!$B$51&lt;Inputs!$B$8),Inputs!$B$52*Inputs!$B$15*Inputs!$B$24*1000*Prices!L22,0)+IF(A19=Inputs!$B$9+Inputs!$B$8-1,Inputs!$B$55*Inputs!$B$7*1000*Prices!L22,0)</f>
        <v>0</v>
      </c>
      <c r="F19" s="25">
        <f>D19-H19</f>
        <v>8797693.442523364</v>
      </c>
      <c r="G19" s="25">
        <f>Financing!G28</f>
        <v>6767456.4942487413</v>
      </c>
      <c r="H19" s="25">
        <f>Taxes!K19</f>
        <v>0</v>
      </c>
      <c r="I19" s="25">
        <f>D19-M19-E19</f>
        <v>8797693.442523364</v>
      </c>
      <c r="J19" s="25">
        <f>D19-H19-E19-G19+Financing!D28</f>
        <v>2030236.9482746227</v>
      </c>
      <c r="K19" s="25">
        <f>K18+J19</f>
        <v>-53359754.00039646</v>
      </c>
      <c r="L19" s="60" t="s">
        <v>274</v>
      </c>
      <c r="M19" s="25">
        <f>Taxes!Q19</f>
        <v>0</v>
      </c>
      <c r="N19" s="25">
        <f>D19-M19</f>
        <v>8797693.442523364</v>
      </c>
      <c r="O19" s="21">
        <f>1/(1+Inputs!$B$38)^(A19-$A$5)</f>
        <v>0.44230096437967292</v>
      </c>
    </row>
    <row r="20" spans="1:15" ht="15" customHeight="1">
      <c r="A20" s="60">
        <v>2041</v>
      </c>
      <c r="B20" s="25">
        <f>Revenue!G20</f>
        <v>14563500</v>
      </c>
      <c r="C20" s="25">
        <f>SUM(Revenue!H20:J20)</f>
        <v>5921820.6886261683</v>
      </c>
      <c r="D20" s="25">
        <f>B20-C20</f>
        <v>8641679.3113738317</v>
      </c>
      <c r="E20" s="25">
        <f>IF(A20=Inputs!$B$9-1,Financing!$G$5,0)+IF(AND(A20=Inputs!$B$9+Inputs!$B$51,Inputs!$B$51&lt;Inputs!$B$8),Inputs!$B$52*Inputs!$B$15*Inputs!$B$24*1000*Prices!L23,0)+IF(A20=Inputs!$B$9+Inputs!$B$8-1,Inputs!$B$55*Inputs!$B$7*1000*Prices!L23,0)</f>
        <v>0</v>
      </c>
      <c r="F20" s="25">
        <f>D20-H20</f>
        <v>8641679.3113738317</v>
      </c>
      <c r="G20" s="25">
        <f>Financing!G29</f>
        <v>6647445.6241337163</v>
      </c>
      <c r="H20" s="25">
        <f>Taxes!K20</f>
        <v>0</v>
      </c>
      <c r="I20" s="25">
        <f>D20-M20-E20</f>
        <v>8641679.3113738317</v>
      </c>
      <c r="J20" s="25">
        <f>D20-H20-E20-G20+Financing!D29</f>
        <v>1994233.6872401154</v>
      </c>
      <c r="K20" s="25">
        <f>K19+J20</f>
        <v>-51365520.313156344</v>
      </c>
      <c r="L20" s="60" t="s">
        <v>274</v>
      </c>
      <c r="M20" s="25">
        <f>Taxes!Q20</f>
        <v>0</v>
      </c>
      <c r="N20" s="25">
        <f>D20-M20</f>
        <v>8641679.3113738317</v>
      </c>
      <c r="O20" s="21">
        <f>1/(1+Inputs!$B$38)^(A20-$A$5)</f>
        <v>0.41726506073554037</v>
      </c>
    </row>
    <row r="21" spans="1:15" ht="15" customHeight="1">
      <c r="A21" s="60">
        <v>2042</v>
      </c>
      <c r="B21" s="25">
        <f>Revenue!G21</f>
        <v>14563500</v>
      </c>
      <c r="C21" s="25">
        <f>SUM(Revenue!H21:J21)</f>
        <v>6040257.1023986926</v>
      </c>
      <c r="D21" s="25">
        <f>B21-C21</f>
        <v>8523242.8976013064</v>
      </c>
      <c r="E21" s="25">
        <f>IF(A21=Inputs!$B$9-1,Financing!$G$5,0)+IF(AND(A21=Inputs!$B$9+Inputs!$B$51,Inputs!$B$51&lt;Inputs!$B$8),Inputs!$B$52*Inputs!$B$15*Inputs!$B$24*1000*Prices!L24,0)+IF(A21=Inputs!$B$9+Inputs!$B$8-1,Inputs!$B$55*Inputs!$B$7*1000*Prices!L24,0)</f>
        <v>0</v>
      </c>
      <c r="F21" s="25">
        <f>D21-H21</f>
        <v>8523242.8976013064</v>
      </c>
      <c r="G21" s="25">
        <f>Financing!G30</f>
        <v>6556340.6904625436</v>
      </c>
      <c r="H21" s="25">
        <f>Taxes!K21</f>
        <v>0</v>
      </c>
      <c r="I21" s="25">
        <f>D21-M21-E21</f>
        <v>8523242.8976013064</v>
      </c>
      <c r="J21" s="25">
        <f>D21-H21-E21-G21+Financing!D30</f>
        <v>1966902.2071387628</v>
      </c>
      <c r="K21" s="25">
        <f>K20+J21</f>
        <v>-49398618.106017582</v>
      </c>
      <c r="L21" s="60" t="s">
        <v>274</v>
      </c>
      <c r="M21" s="25">
        <f>Taxes!Q21</f>
        <v>0</v>
      </c>
      <c r="N21" s="25">
        <f>D21-M21</f>
        <v>8523242.8976013064</v>
      </c>
      <c r="O21" s="21">
        <f>1/(1+Inputs!$B$38)^(A21-$A$5)</f>
        <v>0.39364628371277405</v>
      </c>
    </row>
    <row r="22" spans="1:15" ht="15" customHeight="1">
      <c r="A22" s="60">
        <v>2043</v>
      </c>
      <c r="B22" s="25">
        <f>Revenue!G22</f>
        <v>10165211.482023655</v>
      </c>
      <c r="C22" s="25">
        <f>SUM(Revenue!H22:J22)</f>
        <v>6161062.2444466669</v>
      </c>
      <c r="D22" s="25">
        <f>B22-C22</f>
        <v>4004149.2375769876</v>
      </c>
      <c r="E22" s="25">
        <f>IF(A22=Inputs!$B$9-1,Financing!$G$5,0)+IF(AND(A22=Inputs!$B$9+Inputs!$B$51,Inputs!$B$51&lt;Inputs!$B$8),Inputs!$B$52*Inputs!$B$15*Inputs!$B$24*1000*Prices!L25,0)+IF(A22=Inputs!$B$9+Inputs!$B$8-1,Inputs!$B$55*Inputs!$B$7*1000*Prices!L25,0)</f>
        <v>0</v>
      </c>
      <c r="F22" s="25">
        <f>D22-H22</f>
        <v>4004149.2375769876</v>
      </c>
      <c r="G22" s="25">
        <f>Financing!G31</f>
        <v>-7.550697773694992E-9</v>
      </c>
      <c r="H22" s="25">
        <f>Taxes!K22</f>
        <v>0</v>
      </c>
      <c r="I22" s="25">
        <f>D22-M22-E22</f>
        <v>4004149.2375769876</v>
      </c>
      <c r="J22" s="25">
        <f>D22-H22-E22-G22+Financing!D31</f>
        <v>4004149.237576995</v>
      </c>
      <c r="K22" s="25">
        <f>K21+J22</f>
        <v>-45394468.868440583</v>
      </c>
      <c r="L22" s="60" t="s">
        <v>274</v>
      </c>
      <c r="M22" s="25">
        <f>Taxes!Q22</f>
        <v>0</v>
      </c>
      <c r="N22" s="25">
        <f>D22-M22</f>
        <v>4004149.2375769876</v>
      </c>
      <c r="O22" s="21">
        <f>1/(1+Inputs!$B$38)^(A22-$A$5)</f>
        <v>0.37136441859695657</v>
      </c>
    </row>
    <row r="23" spans="1:15" ht="15" customHeight="1">
      <c r="A23" s="60">
        <v>2044</v>
      </c>
      <c r="B23" s="25">
        <f>Revenue!G23</f>
        <v>10542089.072737763</v>
      </c>
      <c r="C23" s="25">
        <f>SUM(Revenue!H23:J23)</f>
        <v>6284283.4893355994</v>
      </c>
      <c r="D23" s="25">
        <f>B23-C23</f>
        <v>4257805.5834021633</v>
      </c>
      <c r="E23" s="25">
        <f>IF(A23=Inputs!$B$9-1,Financing!$G$5,0)+IF(AND(A23=Inputs!$B$9+Inputs!$B$51,Inputs!$B$51&lt;Inputs!$B$8),Inputs!$B$52*Inputs!$B$15*Inputs!$B$24*1000*Prices!L26,0)+IF(A23=Inputs!$B$9+Inputs!$B$8-1,Inputs!$B$55*Inputs!$B$7*1000*Prices!L26,0)</f>
        <v>0</v>
      </c>
      <c r="F23" s="25">
        <f>D23-H23</f>
        <v>4257805.5834021633</v>
      </c>
      <c r="G23" s="25">
        <f>Financing!G32</f>
        <v>-7.550697773694992E-9</v>
      </c>
      <c r="H23" s="25">
        <f>Taxes!K23</f>
        <v>0</v>
      </c>
      <c r="I23" s="25">
        <f>D23-M23-E23</f>
        <v>4257805.5834021633</v>
      </c>
      <c r="J23" s="25">
        <f>D23-H23-E23-G23+Financing!D32</f>
        <v>4257805.5834021708</v>
      </c>
      <c r="K23" s="25">
        <f>K22+J23</f>
        <v>-41136663.285038412</v>
      </c>
      <c r="L23" s="60" t="s">
        <v>274</v>
      </c>
      <c r="M23" s="25">
        <f>Taxes!Q23</f>
        <v>0</v>
      </c>
      <c r="N23" s="25">
        <f>D23-M23</f>
        <v>4257805.5834021633</v>
      </c>
      <c r="O23" s="21">
        <f>1/(1+Inputs!$B$38)^(A23-$A$5)</f>
        <v>0.35034379112920433</v>
      </c>
    </row>
    <row r="24" spans="1:15" ht="15" customHeight="1">
      <c r="A24" s="60">
        <v>2045</v>
      </c>
      <c r="B24" s="25">
        <f>Revenue!G24</f>
        <v>10871216.497492041</v>
      </c>
      <c r="C24" s="25">
        <f>SUM(Revenue!H24:J24)</f>
        <v>6409969.1591223115</v>
      </c>
      <c r="D24" s="25">
        <f>B24-C24</f>
        <v>4461247.3383697299</v>
      </c>
      <c r="E24" s="25">
        <f>IF(A24=Inputs!$B$9-1,Financing!$G$5,0)+IF(AND(A24=Inputs!$B$9+Inputs!$B$51,Inputs!$B$51&lt;Inputs!$B$8),Inputs!$B$52*Inputs!$B$15*Inputs!$B$24*1000*Prices!L27,0)+IF(A24=Inputs!$B$9+Inputs!$B$8-1,Inputs!$B$55*Inputs!$B$7*1000*Prices!L27,0)</f>
        <v>0</v>
      </c>
      <c r="F24" s="25">
        <f>D24-H24</f>
        <v>4461247.3383697299</v>
      </c>
      <c r="G24" s="25">
        <f>Financing!G33</f>
        <v>-7.550697773694992E-9</v>
      </c>
      <c r="H24" s="25">
        <f>Taxes!K24</f>
        <v>0</v>
      </c>
      <c r="I24" s="25">
        <f>D24-M24-E24</f>
        <v>4380816.9785350179</v>
      </c>
      <c r="J24" s="25">
        <f>D24-H24-E24-G24+Financing!D33</f>
        <v>4461247.3383697374</v>
      </c>
      <c r="K24" s="25">
        <f>K23+J24</f>
        <v>-36675415.946668677</v>
      </c>
      <c r="L24" s="60" t="s">
        <v>274</v>
      </c>
      <c r="M24" s="25">
        <f>Taxes!Q24</f>
        <v>80430.359834711722</v>
      </c>
      <c r="N24" s="25">
        <f>D24-M24</f>
        <v>4380816.9785350179</v>
      </c>
      <c r="O24" s="21">
        <f>1/(1+Inputs!$B$38)^(A24-$A$5)</f>
        <v>0.3305130104992493</v>
      </c>
    </row>
    <row r="25" spans="1:15" ht="15" customHeight="1">
      <c r="A25" s="60">
        <v>2046</v>
      </c>
      <c r="B25" s="25">
        <f>Revenue!G25</f>
        <v>11239259.367955144</v>
      </c>
      <c r="C25" s="25">
        <f>SUM(Revenue!H25:J25)</f>
        <v>6538168.5423047589</v>
      </c>
      <c r="D25" s="25">
        <f>B25-C25</f>
        <v>4701090.8256503856</v>
      </c>
      <c r="E25" s="25">
        <f>IF(A25=Inputs!$B$9-1,Financing!$G$5,0)+IF(AND(A25=Inputs!$B$9+Inputs!$B$51,Inputs!$B$51&lt;Inputs!$B$8),Inputs!$B$52*Inputs!$B$15*Inputs!$B$24*1000*Prices!L28,0)+IF(A25=Inputs!$B$9+Inputs!$B$8-1,Inputs!$B$55*Inputs!$B$7*1000*Prices!L28,0)</f>
        <v>0</v>
      </c>
      <c r="F25" s="25">
        <f>D25-H25</f>
        <v>4701090.8256503856</v>
      </c>
      <c r="G25" s="25">
        <f>Financing!G34</f>
        <v>-7.550697773694992E-9</v>
      </c>
      <c r="H25" s="25">
        <f>Taxes!K25</f>
        <v>0</v>
      </c>
      <c r="I25" s="25">
        <f>D25-M25-E25</f>
        <v>3818774.8680417361</v>
      </c>
      <c r="J25" s="25">
        <f>D25-H25-E25-G25+Financing!D34</f>
        <v>4701090.825650393</v>
      </c>
      <c r="K25" s="25">
        <f>K24+J25</f>
        <v>-31974325.121018283</v>
      </c>
      <c r="L25" s="60" t="s">
        <v>274</v>
      </c>
      <c r="M25" s="25">
        <f>Taxes!Q25</f>
        <v>882315.95760864974</v>
      </c>
      <c r="N25" s="25">
        <f>D25-M25</f>
        <v>3818774.8680417361</v>
      </c>
      <c r="O25" s="21">
        <f>1/(1+Inputs!$B$38)^(A25-$A$5)</f>
        <v>0.31180472688608429</v>
      </c>
    </row>
    <row r="26" spans="1:15" ht="15" customHeight="1">
      <c r="A26" s="60">
        <v>2047</v>
      </c>
      <c r="B26" s="25">
        <f>Revenue!G26</f>
        <v>11617675.466637772</v>
      </c>
      <c r="C26" s="25">
        <f>SUM(Revenue!H26:J26)</f>
        <v>6668931.9131508535</v>
      </c>
      <c r="D26" s="25">
        <f>B26-C26</f>
        <v>4948743.5534869181</v>
      </c>
      <c r="E26" s="25">
        <f>IF(A26=Inputs!$B$9-1,Financing!$G$5,0)+IF(AND(A26=Inputs!$B$9+Inputs!$B$51,Inputs!$B$51&lt;Inputs!$B$8),Inputs!$B$52*Inputs!$B$15*Inputs!$B$24*1000*Prices!L29,0)+IF(A26=Inputs!$B$9+Inputs!$B$8-1,Inputs!$B$55*Inputs!$B$7*1000*Prices!L29,0)</f>
        <v>0</v>
      </c>
      <c r="F26" s="25">
        <f>D26-H26</f>
        <v>4948743.5534869181</v>
      </c>
      <c r="G26" s="25">
        <f>Financing!G35</f>
        <v>-7.550697773694992E-9</v>
      </c>
      <c r="H26" s="25">
        <f>Taxes!K26</f>
        <v>0</v>
      </c>
      <c r="I26" s="25">
        <f>D26-M26-E26</f>
        <v>4003290.0315434267</v>
      </c>
      <c r="J26" s="25">
        <f>D26-H26-E26-G26+Financing!D35</f>
        <v>4948743.5534869255</v>
      </c>
      <c r="K26" s="25">
        <f>K25+J26</f>
        <v>-27025581.567531358</v>
      </c>
      <c r="L26" s="60" t="s">
        <v>274</v>
      </c>
      <c r="M26" s="25">
        <f>Taxes!Q26</f>
        <v>945453.52194349153</v>
      </c>
      <c r="N26" s="25">
        <f>D26-M26</f>
        <v>4003290.0315434267</v>
      </c>
      <c r="O26" s="21">
        <f>1/(1+Inputs!$B$38)^(A26-$A$5)</f>
        <v>0.29415540272272095</v>
      </c>
    </row>
    <row r="27" spans="1:15" ht="15" customHeight="1">
      <c r="A27" s="60">
        <v>2048</v>
      </c>
      <c r="B27" s="25">
        <f>Revenue!G27</f>
        <v>12039627.663069898</v>
      </c>
      <c r="C27" s="25">
        <f>SUM(Revenue!H27:J27)</f>
        <v>6802310.5514138704</v>
      </c>
      <c r="D27" s="25">
        <f>B27-C27</f>
        <v>5237317.1116560278</v>
      </c>
      <c r="E27" s="25">
        <f>IF(A27=Inputs!$B$9-1,Financing!$G$5,0)+IF(AND(A27=Inputs!$B$9+Inputs!$B$51,Inputs!$B$51&lt;Inputs!$B$8),Inputs!$B$52*Inputs!$B$15*Inputs!$B$24*1000*Prices!L30,0)+IF(A27=Inputs!$B$9+Inputs!$B$8-1,Inputs!$B$55*Inputs!$B$7*1000*Prices!L30,0)</f>
        <v>0</v>
      </c>
      <c r="F27" s="25">
        <f>D27-H27</f>
        <v>5237317.1116560278</v>
      </c>
      <c r="G27" s="25">
        <f>Financing!G36</f>
        <v>-7.550697773694992E-9</v>
      </c>
      <c r="H27" s="25">
        <f>Taxes!K27</f>
        <v>0</v>
      </c>
      <c r="I27" s="25">
        <f>D27-M27-E27</f>
        <v>4223739.50872155</v>
      </c>
      <c r="J27" s="25">
        <f>D27-H27-E27-G27+Financing!D36</f>
        <v>5237317.1116560353</v>
      </c>
      <c r="K27" s="25">
        <f>K26+J27</f>
        <v>-21788264.455875322</v>
      </c>
      <c r="L27" s="60" t="s">
        <v>274</v>
      </c>
      <c r="M27" s="25">
        <f>Taxes!Q27</f>
        <v>1013577.6029344779</v>
      </c>
      <c r="N27" s="25">
        <f>D27-M27</f>
        <v>4223739.50872155</v>
      </c>
      <c r="O27" s="21">
        <f>1/(1+Inputs!$B$38)^(A27-$A$5)</f>
        <v>0.27750509690822728</v>
      </c>
    </row>
    <row r="28" spans="1:15" ht="15" customHeight="1">
      <c r="A28" s="60">
        <v>2049</v>
      </c>
      <c r="B28" s="25">
        <f>Revenue!G28</f>
        <v>12406704.755771935</v>
      </c>
      <c r="C28" s="25">
        <f>SUM(Revenue!H28:J28)</f>
        <v>6938356.7624421464</v>
      </c>
      <c r="D28" s="25">
        <f>B28-C28</f>
        <v>5468347.9933297886</v>
      </c>
      <c r="E28" s="25">
        <f>IF(A28=Inputs!$B$9-1,Financing!$G$5,0)+IF(AND(A28=Inputs!$B$9+Inputs!$B$51,Inputs!$B$51&lt;Inputs!$B$8),Inputs!$B$52*Inputs!$B$15*Inputs!$B$24*1000*Prices!L31,0)+IF(A28=Inputs!$B$9+Inputs!$B$8-1,Inputs!$B$55*Inputs!$B$7*1000*Prices!L31,0)</f>
        <v>0</v>
      </c>
      <c r="F28" s="25">
        <f>D28-H28</f>
        <v>5468347.9933297886</v>
      </c>
      <c r="G28" s="25">
        <f>Financing!G37</f>
        <v>-7.550697773694992E-9</v>
      </c>
      <c r="H28" s="25">
        <f>Taxes!K28</f>
        <v>0</v>
      </c>
      <c r="I28" s="25">
        <f>D28-M28-E28</f>
        <v>4400601.0465023275</v>
      </c>
      <c r="J28" s="25">
        <f>D28-H28-E28-G28+Financing!D37</f>
        <v>5468347.993329796</v>
      </c>
      <c r="K28" s="25">
        <f>K27+J28</f>
        <v>-16319916.462545525</v>
      </c>
      <c r="L28" s="60" t="s">
        <v>274</v>
      </c>
      <c r="M28" s="25">
        <f>Taxes!Q28</f>
        <v>1067746.946827461</v>
      </c>
      <c r="N28" s="25">
        <f>D28-M28</f>
        <v>4400601.0465023275</v>
      </c>
      <c r="O28" s="21">
        <f>1/(1+Inputs!$B$38)^(A28-$A$5)</f>
        <v>0.26179726123417668</v>
      </c>
    </row>
    <row r="29" spans="1:15" ht="15" customHeight="1">
      <c r="A29" s="60">
        <v>2050</v>
      </c>
      <c r="B29" s="25">
        <f>Revenue!G29</f>
        <v>12817873.203031192</v>
      </c>
      <c r="C29" s="25">
        <f>SUM(Revenue!H29:J29)</f>
        <v>7077123.8976909909</v>
      </c>
      <c r="D29" s="25">
        <f>B29-C29</f>
        <v>5740749.3053402007</v>
      </c>
      <c r="E29" s="25">
        <f>IF(A29=Inputs!$B$9-1,Financing!$G$5,0)+IF(AND(A29=Inputs!$B$9+Inputs!$B$51,Inputs!$B$51&lt;Inputs!$B$8),Inputs!$B$52*Inputs!$B$15*Inputs!$B$24*1000*Prices!L32,0)+IF(A29=Inputs!$B$9+Inputs!$B$8-1,Inputs!$B$55*Inputs!$B$7*1000*Prices!L32,0)</f>
        <v>0</v>
      </c>
      <c r="F29" s="25">
        <f>D29-H29</f>
        <v>5740749.3053402007</v>
      </c>
      <c r="G29" s="25">
        <f>Financing!G38</f>
        <v>-7.550697773694992E-9</v>
      </c>
      <c r="H29" s="25">
        <f>Taxes!K29</f>
        <v>0</v>
      </c>
      <c r="I29" s="25">
        <f>D29-M29-E29</f>
        <v>4612430.2729286095</v>
      </c>
      <c r="J29" s="25">
        <f>D29-H29-E29-G29+Financing!D38</f>
        <v>5740749.3053402081</v>
      </c>
      <c r="K29" s="25">
        <f>K28+J29</f>
        <v>-10579167.157205317</v>
      </c>
      <c r="L29" s="60" t="s">
        <v>274</v>
      </c>
      <c r="M29" s="25">
        <f>Taxes!Q29</f>
        <v>1128319.0324115909</v>
      </c>
      <c r="N29" s="25">
        <f>D29-M29</f>
        <v>4612430.2729286095</v>
      </c>
      <c r="O29" s="21">
        <f>1/(1+Inputs!$B$38)^(A29-$A$5)</f>
        <v>0.24697854833412897</v>
      </c>
    </row>
    <row r="30" spans="1:15" ht="15" customHeight="1">
      <c r="A30" s="60">
        <v>2051</v>
      </c>
      <c r="B30" s="25">
        <f>Revenue!G30</f>
        <v>13074230.667091815</v>
      </c>
      <c r="C30" s="25">
        <f>SUM(Revenue!H30:J30)</f>
        <v>7218666.3756448096</v>
      </c>
      <c r="D30" s="25">
        <f>B30-C30</f>
        <v>5855564.2914470052</v>
      </c>
      <c r="E30" s="25">
        <f>IF(A30=Inputs!$B$9-1,Financing!$G$5,0)+IF(AND(A30=Inputs!$B$9+Inputs!$B$51,Inputs!$B$51&lt;Inputs!$B$8),Inputs!$B$52*Inputs!$B$15*Inputs!$B$24*1000*Prices!L33,0)+IF(A30=Inputs!$B$9+Inputs!$B$8-1,Inputs!$B$55*Inputs!$B$7*1000*Prices!L33,0)</f>
        <v>0</v>
      </c>
      <c r="F30" s="25">
        <f>D30-H30</f>
        <v>5292434.0721640578</v>
      </c>
      <c r="G30" s="25">
        <f>Financing!G39</f>
        <v>-7.550697773694992E-9</v>
      </c>
      <c r="H30" s="25">
        <f>Taxes!K30</f>
        <v>563130.21928294783</v>
      </c>
      <c r="I30" s="25">
        <f>D30-M30-E30</f>
        <v>4699622.0170797883</v>
      </c>
      <c r="J30" s="25">
        <f>D30-H30-E30-G30+Financing!D39</f>
        <v>5292434.0721640652</v>
      </c>
      <c r="K30" s="25">
        <f>K29+J30</f>
        <v>-5286733.085041252</v>
      </c>
      <c r="L30" s="60" t="s">
        <v>274</v>
      </c>
      <c r="M30" s="25">
        <f>Taxes!Q30</f>
        <v>1155942.2743672167</v>
      </c>
      <c r="N30" s="25">
        <f>D30-M30</f>
        <v>4699622.0170797883</v>
      </c>
      <c r="O30" s="21">
        <f>1/(1+Inputs!$B$38)^(A30-$A$5)</f>
        <v>0.23299863050389524</v>
      </c>
    </row>
    <row r="31" spans="1:15" ht="15" customHeight="1">
      <c r="A31" s="60">
        <v>2052</v>
      </c>
      <c r="B31" s="25">
        <f>Revenue!G31</f>
        <v>13372251.486681417</v>
      </c>
      <c r="C31" s="25">
        <f>SUM(Revenue!H31:J31)</f>
        <v>7363039.7031577071</v>
      </c>
      <c r="D31" s="25">
        <f>B31-C31</f>
        <v>6009211.7835237095</v>
      </c>
      <c r="E31" s="25">
        <f>IF(A31=Inputs!$B$9-1,Financing!$G$5,0)+IF(AND(A31=Inputs!$B$9+Inputs!$B$51,Inputs!$B$51&lt;Inputs!$B$8),Inputs!$B$52*Inputs!$B$15*Inputs!$B$24*1000*Prices!L34,0)+IF(A31=Inputs!$B$9+Inputs!$B$8-1,Inputs!$B$55*Inputs!$B$7*1000*Prices!L34,0)</f>
        <v>3346836.2287080488</v>
      </c>
      <c r="F31" s="25">
        <f>D31-H31</f>
        <v>4818974.9235194372</v>
      </c>
      <c r="G31" s="25">
        <f>Financing!G40</f>
        <v>-7.550697773694992E-9</v>
      </c>
      <c r="H31" s="25">
        <f>Taxes!K31</f>
        <v>1190236.8600042723</v>
      </c>
      <c r="I31" s="25">
        <f>D31-M31-E31</f>
        <v>1472138.6948113893</v>
      </c>
      <c r="J31" s="25">
        <f>D31-H31-E31-G31+Financing!D40</f>
        <v>1472138.6948113958</v>
      </c>
      <c r="K31" s="25">
        <f>K30+J31</f>
        <v>-3814594.3902298561</v>
      </c>
      <c r="L31" s="60" t="s">
        <v>274</v>
      </c>
      <c r="M31" s="25">
        <f>Taxes!Q31</f>
        <v>1190236.8600042709</v>
      </c>
      <c r="N31" s="25">
        <f>D31-M31</f>
        <v>4818974.9235194381</v>
      </c>
      <c r="O31" s="21">
        <f>1/(1+Inputs!$B$38)^(A31-$A$5)</f>
        <v>0.21981002877725966</v>
      </c>
    </row>
    <row r="32" spans="1:15" ht="15" customHeight="1">
      <c r="A32" s="60">
        <v>2053</v>
      </c>
      <c r="B32" s="25">
        <f>Revenue!G32</f>
        <v>0</v>
      </c>
      <c r="C32" s="25">
        <f>SUM(Revenue!H32:J32)</f>
        <v>0</v>
      </c>
      <c r="D32" s="25">
        <f>B32-C32</f>
        <v>0</v>
      </c>
      <c r="E32" s="25">
        <f>IF(A32=Inputs!$B$9-1,Financing!$G$5,0)+IF(AND(A32=Inputs!$B$9+Inputs!$B$51,Inputs!$B$51&lt;Inputs!$B$8),Inputs!$B$52*Inputs!$B$15*Inputs!$B$24*1000*Prices!L35,0)+IF(A32=Inputs!$B$9+Inputs!$B$8-1,Inputs!$B$55*Inputs!$B$7*1000*Prices!L35,0)</f>
        <v>0</v>
      </c>
      <c r="F32" s="25">
        <f>D32-H32</f>
        <v>-1.5101395547389986E-9</v>
      </c>
      <c r="G32" s="25">
        <f>Financing!G41</f>
        <v>-7.550697773694992E-9</v>
      </c>
      <c r="H32" s="25">
        <f>Taxes!K32</f>
        <v>1.5101395547389986E-9</v>
      </c>
      <c r="I32" s="25">
        <f>D32-M32-E32</f>
        <v>0</v>
      </c>
      <c r="J32" s="25">
        <f>D32-H32-E32-G32+Financing!D41</f>
        <v>6.0405582189559934E-9</v>
      </c>
      <c r="K32" s="25">
        <f>K31+J32</f>
        <v>-3814594.3902298501</v>
      </c>
      <c r="L32" s="60" t="s">
        <v>274</v>
      </c>
      <c r="M32" s="25">
        <f>Taxes!Q32</f>
        <v>0</v>
      </c>
      <c r="N32" s="25">
        <f>D32-M32</f>
        <v>0</v>
      </c>
      <c r="O32" s="21">
        <f>1/(1+Inputs!$B$38)^(A32-$A$5)</f>
        <v>0.20736795167666003</v>
      </c>
    </row>
    <row r="33" spans="1:15" ht="15" customHeight="1">
      <c r="A33" s="60">
        <v>2054</v>
      </c>
      <c r="B33" s="25">
        <f>Revenue!G33</f>
        <v>0</v>
      </c>
      <c r="C33" s="25">
        <f>SUM(Revenue!H33:J33)</f>
        <v>0</v>
      </c>
      <c r="D33" s="25">
        <f>B33-C33</f>
        <v>0</v>
      </c>
      <c r="E33" s="25">
        <f>IF(A33=Inputs!$B$9-1,Financing!$G$5,0)+IF(AND(A33=Inputs!$B$9+Inputs!$B$51,Inputs!$B$51&lt;Inputs!$B$8),Inputs!$B$52*Inputs!$B$15*Inputs!$B$24*1000*Prices!L36,0)+IF(A33=Inputs!$B$9+Inputs!$B$8-1,Inputs!$B$55*Inputs!$B$7*1000*Prices!L36,0)</f>
        <v>0</v>
      </c>
      <c r="F33" s="25">
        <f>D33-H33</f>
        <v>-1.5101395547389986E-9</v>
      </c>
      <c r="G33" s="25">
        <f>Financing!G42</f>
        <v>-7.550697773694992E-9</v>
      </c>
      <c r="H33" s="25">
        <f>Taxes!K33</f>
        <v>1.5101395547389986E-9</v>
      </c>
      <c r="I33" s="25">
        <f>D33-M33-E33</f>
        <v>0</v>
      </c>
      <c r="J33" s="25">
        <f>D33-H33-E33-G33+Financing!D42</f>
        <v>6.0405582189559934E-9</v>
      </c>
      <c r="K33" s="25">
        <f>K32+J33</f>
        <v>-3814594.390229844</v>
      </c>
      <c r="L33" s="60" t="s">
        <v>274</v>
      </c>
      <c r="M33" s="25">
        <f>Taxes!Q33</f>
        <v>0</v>
      </c>
      <c r="N33" s="25">
        <f>D33-M33</f>
        <v>0</v>
      </c>
      <c r="O33" s="21">
        <f>1/(1+Inputs!$B$38)^(A33-$A$5)</f>
        <v>0.1956301430911887</v>
      </c>
    </row>
    <row r="34" spans="1:15" ht="15" customHeight="1">
      <c r="A34" s="60">
        <v>2055</v>
      </c>
      <c r="B34" s="25">
        <f>Revenue!G34</f>
        <v>0</v>
      </c>
      <c r="C34" s="25">
        <f>SUM(Revenue!H34:J34)</f>
        <v>0</v>
      </c>
      <c r="D34" s="25">
        <f>B34-C34</f>
        <v>0</v>
      </c>
      <c r="E34" s="25">
        <f>IF(A34=Inputs!$B$9-1,Financing!$G$5,0)+IF(AND(A34=Inputs!$B$9+Inputs!$B$51,Inputs!$B$51&lt;Inputs!$B$8),Inputs!$B$52*Inputs!$B$15*Inputs!$B$24*1000*Prices!L37,0)+IF(A34=Inputs!$B$9+Inputs!$B$8-1,Inputs!$B$55*Inputs!$B$7*1000*Prices!L37,0)</f>
        <v>0</v>
      </c>
      <c r="F34" s="25">
        <f>D34-H34</f>
        <v>-1.5101395547389986E-9</v>
      </c>
      <c r="G34" s="25">
        <f>Financing!G43</f>
        <v>-7.550697773694992E-9</v>
      </c>
      <c r="H34" s="25">
        <f>Taxes!K34</f>
        <v>1.5101395547389986E-9</v>
      </c>
      <c r="I34" s="25">
        <f>D34-M34-E34</f>
        <v>0</v>
      </c>
      <c r="J34" s="25">
        <f>D34-H34-E34-G34+Financing!D43</f>
        <v>6.0405582189559934E-9</v>
      </c>
      <c r="K34" s="25">
        <f>K33+J34</f>
        <v>-3814594.390229838</v>
      </c>
      <c r="L34" s="60" t="s">
        <v>274</v>
      </c>
      <c r="M34" s="25">
        <f>Taxes!Q34</f>
        <v>0</v>
      </c>
      <c r="N34" s="25">
        <f>D34-M34</f>
        <v>0</v>
      </c>
      <c r="O34" s="21">
        <f>1/(1+Inputs!$B$38)^(A34-$A$5)</f>
        <v>0.18455673876527234</v>
      </c>
    </row>
    <row r="35" spans="1:15" ht="15" customHeight="1">
      <c r="A35" s="60">
        <v>2056</v>
      </c>
      <c r="B35" s="25">
        <f>Revenue!G35</f>
        <v>0</v>
      </c>
      <c r="C35" s="25">
        <f>SUM(Revenue!H35:J35)</f>
        <v>0</v>
      </c>
      <c r="D35" s="25">
        <f>B35-C35</f>
        <v>0</v>
      </c>
      <c r="E35" s="25">
        <f>IF(A35=Inputs!$B$9-1,Financing!$G$5,0)+IF(AND(A35=Inputs!$B$9+Inputs!$B$51,Inputs!$B$51&lt;Inputs!$B$8),Inputs!$B$52*Inputs!$B$15*Inputs!$B$24*1000*Prices!L38,0)+IF(A35=Inputs!$B$9+Inputs!$B$8-1,Inputs!$B$55*Inputs!$B$7*1000*Prices!L38,0)</f>
        <v>0</v>
      </c>
      <c r="F35" s="25">
        <f>D35-H35</f>
        <v>-1.5101395547389986E-9</v>
      </c>
      <c r="G35" s="25">
        <f>Financing!G44</f>
        <v>-7.550697773694992E-9</v>
      </c>
      <c r="H35" s="25">
        <f>Taxes!K35</f>
        <v>1.5101395547389986E-9</v>
      </c>
      <c r="I35" s="25">
        <f>D35-M35-E35</f>
        <v>0</v>
      </c>
      <c r="J35" s="25">
        <f>D35-H35-E35-G35+Financing!D44</f>
        <v>6.0405582189559934E-9</v>
      </c>
      <c r="K35" s="25">
        <f>K34+J35</f>
        <v>-3814594.3902298319</v>
      </c>
      <c r="L35" s="60" t="s">
        <v>274</v>
      </c>
      <c r="M35" s="25">
        <f>Taxes!Q35</f>
        <v>0</v>
      </c>
      <c r="N35" s="25">
        <f>D35-M35</f>
        <v>0</v>
      </c>
      <c r="O35" s="21">
        <f>1/(1+Inputs!$B$38)^(A35-$A$5)</f>
        <v>0.17411013091063426</v>
      </c>
    </row>
    <row r="36" spans="1:15" ht="15" customHeight="1">
      <c r="A36" s="60">
        <v>2057</v>
      </c>
      <c r="B36" s="25">
        <f>Revenue!G36</f>
        <v>0</v>
      </c>
      <c r="C36" s="25">
        <f>SUM(Revenue!H36:J36)</f>
        <v>0</v>
      </c>
      <c r="D36" s="25">
        <f>B36-C36</f>
        <v>0</v>
      </c>
      <c r="E36" s="25">
        <f>IF(A36=Inputs!$B$9-1,Financing!$G$5,0)+IF(AND(A36=Inputs!$B$9+Inputs!$B$51,Inputs!$B$51&lt;Inputs!$B$8),Inputs!$B$52*Inputs!$B$15*Inputs!$B$24*1000*Prices!L39,0)+IF(A36=Inputs!$B$9+Inputs!$B$8-1,Inputs!$B$55*Inputs!$B$7*1000*Prices!L39,0)</f>
        <v>0</v>
      </c>
      <c r="F36" s="25">
        <f>D36-H36</f>
        <v>-1.5101395547389986E-9</v>
      </c>
      <c r="G36" s="25">
        <f>Financing!G45</f>
        <v>-7.550697773694992E-9</v>
      </c>
      <c r="H36" s="25">
        <f>Taxes!K36</f>
        <v>1.5101395547389986E-9</v>
      </c>
      <c r="I36" s="25">
        <f>D36-M36-E36</f>
        <v>0</v>
      </c>
      <c r="J36" s="25">
        <f>D36-H36-E36-G36+Financing!D45</f>
        <v>6.0405582189559934E-9</v>
      </c>
      <c r="K36" s="25">
        <f>K35+J36</f>
        <v>-3814594.3902298259</v>
      </c>
      <c r="L36" s="60" t="s">
        <v>274</v>
      </c>
      <c r="M36" s="25">
        <f>Taxes!Q36</f>
        <v>0</v>
      </c>
      <c r="N36" s="25">
        <f>D36-M36</f>
        <v>0</v>
      </c>
      <c r="O36" s="21">
        <f>1/(1+Inputs!$B$38)^(A36-$A$5)</f>
        <v>0.16425484048173042</v>
      </c>
    </row>
    <row r="37" spans="1:15" ht="409.5" customHeight="1">
      <c r="A37" s="60">
        <v>2058</v>
      </c>
      <c r="B37" s="25">
        <f>Revenue!G37</f>
        <v>0</v>
      </c>
      <c r="C37" s="25">
        <f>SUM(Revenue!H37:J37)</f>
        <v>0</v>
      </c>
      <c r="D37" s="25">
        <f>B37-C37</f>
        <v>0</v>
      </c>
      <c r="E37" s="25">
        <f>IF(A37=Inputs!$B$9-1,Financing!$G$5,0)+IF(AND(A37=Inputs!$B$9+Inputs!$B$51,Inputs!$B$51&lt;Inputs!$B$8),Inputs!$B$52*Inputs!$B$15*Inputs!$B$24*1000*Prices!L40,0)+IF(A37=Inputs!$B$9+Inputs!$B$8-1,Inputs!$B$55*Inputs!$B$7*1000*Prices!L40,0)</f>
        <v>0</v>
      </c>
      <c r="F37" s="25">
        <f>D37-H37</f>
        <v>-1.5101395547389986E-9</v>
      </c>
      <c r="G37" s="25">
        <f>Financing!G46</f>
        <v>-7.550697773694992E-9</v>
      </c>
      <c r="H37" s="25">
        <f>Taxes!K37</f>
        <v>1.5101395547389986E-9</v>
      </c>
      <c r="I37" s="25">
        <f>D37-M37-E37</f>
        <v>0</v>
      </c>
      <c r="J37" s="25">
        <f>D37-H37-E37-G37+Financing!D46</f>
        <v>6.0405582189559934E-9</v>
      </c>
      <c r="K37" s="25">
        <f>K36+J37</f>
        <v>-3814594.3902298198</v>
      </c>
      <c r="L37" s="60" t="s">
        <v>274</v>
      </c>
      <c r="M37" s="25">
        <f>Taxes!Q37</f>
        <v>0</v>
      </c>
      <c r="N37" s="25">
        <f>D37-M37</f>
        <v>0</v>
      </c>
      <c r="O37" s="21">
        <f>1/(1+Inputs!$B$38)^(A37-$A$5)</f>
        <v>0.15495739668087777</v>
      </c>
    </row>
    <row r="39" spans="1:15" ht="409.5" customHeight="1">
      <c r="A39" s="23" t="s">
        <v>345</v>
      </c>
    </row>
  </sheetData>
  <mergeCells count="2">
    <mergeCell ref="A1:L1"/>
    <mergeCell ref="A3:L3"/>
  </mergeCells>
  <pageMargins left="0.75" right="0.75" top="1" bottom="1" header="0.511811023622047" footer="0.5"/>
  <pageSetup fitToHeight="0" orientation="portrait" horizontalDpi="300" verticalDpi="300"/>
  <headerFooter>
    <oddFooter>&amp;CFinnish Onshore Wind Project Finance Model&amp;RPage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7365D"/>
    <pageSetUpPr fitToPage="1"/>
  </sheetPr>
  <dimension ref="A1:L71"/>
  <sheetViews>
    <sheetView showGridLines="0" zoomScaleNormal="100" workbookViewId="0">
      <selection activeCell="E6" sqref="E6"/>
    </sheetView>
  </sheetViews>
  <sheetFormatPr defaultColWidth="8.7109375" defaultRowHeight="15"/>
  <cols>
    <col min="1" max="1" width="24" style="1" customWidth="1"/>
    <col min="2" max="12" width="18" style="1" customWidth="1"/>
  </cols>
  <sheetData>
    <row r="1" spans="1:12" ht="27.75" customHeight="1">
      <c r="A1" s="63" t="s">
        <v>346</v>
      </c>
      <c r="B1" s="63"/>
      <c r="C1" s="63"/>
      <c r="D1" s="63"/>
      <c r="E1" s="63"/>
      <c r="F1" s="63"/>
      <c r="G1" s="63"/>
      <c r="H1" s="63"/>
      <c r="I1" s="63"/>
      <c r="J1" s="63"/>
      <c r="K1" s="63"/>
      <c r="L1" s="63"/>
    </row>
    <row r="3" spans="1:12" ht="19.5" customHeight="1">
      <c r="A3" s="64" t="s">
        <v>347</v>
      </c>
      <c r="B3" s="64"/>
      <c r="C3" s="64"/>
      <c r="D3" s="64"/>
      <c r="E3" s="64"/>
      <c r="F3" s="64"/>
      <c r="G3" s="64"/>
      <c r="H3" s="64"/>
      <c r="I3" s="64"/>
      <c r="J3" s="64"/>
      <c r="K3" s="64"/>
      <c r="L3" s="64"/>
    </row>
    <row r="5" spans="1:12" ht="15" customHeight="1">
      <c r="A5" s="70" t="s">
        <v>348</v>
      </c>
      <c r="B5" s="70"/>
      <c r="C5" s="70"/>
      <c r="E5" s="70" t="s">
        <v>349</v>
      </c>
      <c r="F5" s="70"/>
      <c r="G5" s="70"/>
      <c r="I5" s="70" t="s">
        <v>350</v>
      </c>
      <c r="J5" s="70"/>
      <c r="K5" s="70"/>
    </row>
    <row r="6" spans="1:12" ht="15" customHeight="1">
      <c r="A6" s="71">
        <f>IFERROR(IRR(Cashflow!I5:I37,-0.05),"")</f>
        <v>1.5622264734700408E-2</v>
      </c>
      <c r="B6" s="71"/>
      <c r="C6" s="71"/>
      <c r="E6" s="71">
        <f>IFERROR(IRR(Cashflow!J5:J37,-0.05),"")</f>
        <v>-3.1297951352534659E-3</v>
      </c>
      <c r="F6" s="71"/>
      <c r="G6" s="71"/>
      <c r="I6" s="72">
        <f>IF(Inputs!B14="","n/a",NPV(Inputs!B38,Cashflow!I6:I37)+Cashflow!I5)</f>
        <v>-46455202.608020373</v>
      </c>
      <c r="J6" s="72"/>
      <c r="K6" s="72"/>
    </row>
    <row r="7" spans="1:12" ht="15" customHeight="1">
      <c r="A7" s="71"/>
      <c r="B7" s="71"/>
      <c r="C7" s="71"/>
      <c r="E7" s="71"/>
      <c r="F7" s="71"/>
      <c r="G7" s="71"/>
      <c r="I7" s="72"/>
      <c r="J7" s="72"/>
      <c r="K7" s="72"/>
    </row>
    <row r="8" spans="1:12" ht="15" customHeight="1">
      <c r="A8" s="23" t="s">
        <v>70</v>
      </c>
      <c r="E8" s="23" t="s">
        <v>70</v>
      </c>
      <c r="I8" s="23" t="s">
        <v>298</v>
      </c>
    </row>
    <row r="9" spans="1:12" ht="15" customHeight="1">
      <c r="A9" s="70" t="s">
        <v>313</v>
      </c>
      <c r="B9" s="70"/>
      <c r="C9" s="70"/>
      <c r="E9" s="70" t="s">
        <v>351</v>
      </c>
      <c r="F9" s="70"/>
      <c r="G9" s="70"/>
      <c r="I9" s="70" t="s">
        <v>352</v>
      </c>
      <c r="J9" s="70"/>
      <c r="K9" s="70"/>
    </row>
    <row r="10" spans="1:12" ht="15" customHeight="1">
      <c r="A10" s="73">
        <f>IF(COUNT(Financing!I14:I46)=0,"n/a",MIN(Financing!I14:I46))</f>
        <v>1.3</v>
      </c>
      <c r="B10" s="73"/>
      <c r="C10" s="73"/>
      <c r="E10" s="74">
        <f>IF(Inputs!B14="","n/a",IFERROR(((Inputs!B14+Inputs!B16)*Inputs!B7*1000*((1+Inputs!$B$63)/(1+Inputs!B38))^(Inputs!B9-1-Cashflow!A5)+(Inputs!B19+Inputs!B21)*Inputs!B7*SUMPRODUCT(Production!M5:M37,Prices!L8:L40,Cashflow!O5:O37)+Inputs!B20*SUMPRODUCT(Production!J5:J37,Prices!L8:L40,Cashflow!O5:O37)+Inputs!B55*Inputs!B7*1000*((1+Inputs!$B$63)/(1+Inputs!B38))^(Inputs!B9+Inputs!B8-1-Cashflow!A5))/SUMPRODUCT(Production!J5:J37,Prices!L8:L40,Cashflow!O5:O37),"n/a"))</f>
        <v>47.92835191902666</v>
      </c>
      <c r="F10" s="74"/>
      <c r="G10" s="74"/>
      <c r="I10" s="74">
        <f>IF(SUMPRODUCT(--(Prices!P8:P40&gt;0))=0,"n/a",IFERROR(SUMPRODUCT(Production!J5:J37,Prices!K8:K40,Prices!G8:G40,Cashflow!O5:O37)/SUMPRODUCT(Production!J5:J37,Prices!K8:K40,Prices!M8:M40,Cashflow!O5:O37),"n/a"))</f>
        <v>32.071082862209131</v>
      </c>
      <c r="J10" s="74"/>
      <c r="K10" s="74"/>
    </row>
    <row r="11" spans="1:12" ht="15" customHeight="1">
      <c r="A11" s="73"/>
      <c r="B11" s="73"/>
      <c r="C11" s="73"/>
      <c r="E11" s="74"/>
      <c r="F11" s="74"/>
      <c r="G11" s="74"/>
      <c r="I11" s="74"/>
      <c r="J11" s="74"/>
      <c r="K11" s="74"/>
    </row>
    <row r="12" spans="1:12" ht="15" customHeight="1">
      <c r="A12" s="23" t="s">
        <v>117</v>
      </c>
      <c r="E12" s="23" t="s">
        <v>95</v>
      </c>
      <c r="I12" s="23" t="s">
        <v>95</v>
      </c>
    </row>
    <row r="13" spans="1:12" ht="126.75" customHeight="1">
      <c r="E13" s="75" t="s">
        <v>353</v>
      </c>
      <c r="F13" s="75"/>
      <c r="G13" s="75"/>
      <c r="I13" s="29" t="s">
        <v>354</v>
      </c>
    </row>
    <row r="14" spans="1:12" ht="19.5" customHeight="1">
      <c r="A14" s="64" t="s">
        <v>355</v>
      </c>
      <c r="B14" s="64"/>
      <c r="C14" s="64"/>
      <c r="D14" s="64"/>
      <c r="E14" s="64"/>
      <c r="F14" s="64"/>
      <c r="G14" s="64"/>
      <c r="H14" s="64"/>
      <c r="I14" s="64"/>
      <c r="J14" s="64"/>
      <c r="K14" s="64"/>
      <c r="L14" s="64"/>
    </row>
    <row r="15" spans="1:12" ht="27.75" customHeight="1">
      <c r="A15" s="62" t="s">
        <v>349</v>
      </c>
      <c r="B15" s="62" t="s">
        <v>356</v>
      </c>
      <c r="C15" s="62" t="s">
        <v>357</v>
      </c>
      <c r="D15" s="62" t="s">
        <v>358</v>
      </c>
      <c r="E15" s="60"/>
      <c r="F15" s="62" t="s">
        <v>359</v>
      </c>
      <c r="G15" s="62" t="s">
        <v>356</v>
      </c>
      <c r="H15" s="62" t="s">
        <v>357</v>
      </c>
      <c r="I15" s="62" t="s">
        <v>358</v>
      </c>
    </row>
    <row r="16" spans="1:12" ht="15" customHeight="1">
      <c r="A16" s="60" t="s">
        <v>360</v>
      </c>
      <c r="B16" s="30">
        <v>-5.4300000000000001E-2</v>
      </c>
      <c r="C16" s="30">
        <v>-2.3599999999999999E-2</v>
      </c>
      <c r="D16" s="30">
        <v>-6.7000000000000002E-3</v>
      </c>
      <c r="E16" s="60"/>
      <c r="F16" s="60" t="s">
        <v>360</v>
      </c>
      <c r="G16" s="31">
        <v>-55187688</v>
      </c>
      <c r="H16" s="31">
        <v>-51368358</v>
      </c>
      <c r="I16" s="31">
        <v>-47637412</v>
      </c>
    </row>
    <row r="17" spans="1:12" ht="15" customHeight="1">
      <c r="A17" s="60" t="s">
        <v>361</v>
      </c>
      <c r="B17" s="30">
        <v>-2.1600000000000001E-2</v>
      </c>
      <c r="C17" s="30">
        <v>-3.0999999999999999E-3</v>
      </c>
      <c r="D17" s="30">
        <v>8.6999999999999994E-3</v>
      </c>
      <c r="E17" s="60"/>
      <c r="F17" s="60" t="s">
        <v>361</v>
      </c>
      <c r="G17" s="31">
        <v>-50998901</v>
      </c>
      <c r="H17" s="31">
        <v>-46455203</v>
      </c>
      <c r="I17" s="31">
        <v>-41937891</v>
      </c>
    </row>
    <row r="18" spans="1:12" ht="15" customHeight="1">
      <c r="A18" s="60" t="s">
        <v>362</v>
      </c>
      <c r="B18" s="30">
        <v>2.2000000000000001E-3</v>
      </c>
      <c r="C18" s="30">
        <v>1.5699999999999999E-2</v>
      </c>
      <c r="D18" s="30">
        <v>2.6200000000000001E-2</v>
      </c>
      <c r="E18" s="60"/>
      <c r="F18" s="60" t="s">
        <v>362</v>
      </c>
      <c r="G18" s="31">
        <v>-44377868</v>
      </c>
      <c r="H18" s="31">
        <v>-38556019</v>
      </c>
      <c r="I18" s="31">
        <v>-32738297</v>
      </c>
    </row>
    <row r="19" spans="1:12" ht="27.75" customHeight="1">
      <c r="A19" s="76" t="s">
        <v>363</v>
      </c>
      <c r="B19" s="76"/>
      <c r="C19" s="76"/>
      <c r="D19" s="76"/>
      <c r="E19" s="76"/>
      <c r="F19" s="76"/>
      <c r="G19" s="76"/>
      <c r="H19" s="76"/>
      <c r="I19" s="76"/>
      <c r="J19" s="76"/>
      <c r="K19" s="76"/>
      <c r="L19" s="76"/>
    </row>
    <row r="21" spans="1:12" ht="19.5" customHeight="1">
      <c r="A21" s="64" t="s">
        <v>364</v>
      </c>
      <c r="B21" s="64"/>
      <c r="C21" s="64"/>
      <c r="D21" s="64"/>
      <c r="E21" s="64"/>
      <c r="F21" s="64"/>
      <c r="G21" s="64"/>
      <c r="H21" s="64"/>
      <c r="I21" s="64"/>
      <c r="J21" s="64"/>
      <c r="K21" s="64"/>
      <c r="L21" s="64"/>
    </row>
    <row r="22" spans="1:12" ht="27.75" customHeight="1">
      <c r="A22" s="62" t="s">
        <v>349</v>
      </c>
      <c r="B22" s="62" t="s">
        <v>356</v>
      </c>
      <c r="C22" s="62" t="s">
        <v>357</v>
      </c>
      <c r="D22" s="62" t="s">
        <v>358</v>
      </c>
      <c r="F22" s="62" t="s">
        <v>365</v>
      </c>
      <c r="G22" s="62" t="s">
        <v>356</v>
      </c>
      <c r="H22" s="62" t="s">
        <v>357</v>
      </c>
      <c r="I22" s="62" t="s">
        <v>358</v>
      </c>
    </row>
    <row r="23" spans="1:12" ht="15" customHeight="1">
      <c r="A23" s="60" t="s">
        <v>360</v>
      </c>
      <c r="B23" s="30">
        <v>-0.1211</v>
      </c>
      <c r="C23" s="30">
        <v>-7.0300000000000001E-2</v>
      </c>
      <c r="D23" s="30">
        <v>-4.2799999999999998E-2</v>
      </c>
      <c r="F23" s="60" t="s">
        <v>360</v>
      </c>
      <c r="G23" s="31">
        <v>-131464696</v>
      </c>
      <c r="H23" s="31">
        <v>-117104081</v>
      </c>
      <c r="I23" s="31">
        <v>-102743465</v>
      </c>
    </row>
    <row r="24" spans="1:12" ht="15" customHeight="1">
      <c r="A24" s="60" t="s">
        <v>361</v>
      </c>
      <c r="B24" s="30">
        <v>-6.5699999999999995E-2</v>
      </c>
      <c r="C24" s="30">
        <v>-3.4099999999999998E-2</v>
      </c>
      <c r="D24" s="30">
        <v>-1.0500000000000001E-2</v>
      </c>
      <c r="F24" s="60" t="s">
        <v>361</v>
      </c>
      <c r="G24" s="31">
        <v>-113919747</v>
      </c>
      <c r="H24" s="31">
        <v>-96050142</v>
      </c>
      <c r="I24" s="31">
        <v>-78245979</v>
      </c>
    </row>
    <row r="25" spans="1:12" ht="15" customHeight="1">
      <c r="A25" s="60" t="s">
        <v>362</v>
      </c>
      <c r="B25" s="30">
        <v>-2.4899999999999999E-2</v>
      </c>
      <c r="C25" s="30">
        <v>1E-3</v>
      </c>
      <c r="D25" s="30">
        <v>2.1399999999999999E-2</v>
      </c>
      <c r="F25" s="60" t="s">
        <v>362</v>
      </c>
      <c r="G25" s="31">
        <v>-91877948</v>
      </c>
      <c r="H25" s="31">
        <v>-70709432</v>
      </c>
      <c r="I25" s="31">
        <v>-50984131</v>
      </c>
    </row>
    <row r="26" spans="1:12" ht="39.75" customHeight="1">
      <c r="A26" s="77" t="s">
        <v>366</v>
      </c>
      <c r="B26" s="77"/>
      <c r="C26" s="77"/>
      <c r="D26" s="77"/>
      <c r="E26" s="77"/>
      <c r="F26" s="77"/>
      <c r="G26" s="77"/>
      <c r="H26" s="77"/>
      <c r="I26" s="77"/>
      <c r="J26" s="77"/>
      <c r="K26" s="77"/>
      <c r="L26" s="77"/>
    </row>
    <row r="28" spans="1:12" ht="19.5" customHeight="1">
      <c r="A28" s="64" t="s">
        <v>367</v>
      </c>
      <c r="B28" s="64"/>
      <c r="C28" s="64"/>
      <c r="D28" s="64"/>
      <c r="E28" s="64"/>
      <c r="F28" s="64"/>
      <c r="G28" s="64"/>
      <c r="H28" s="64"/>
      <c r="I28" s="64"/>
      <c r="J28" s="64"/>
      <c r="K28" s="64"/>
      <c r="L28" s="64"/>
    </row>
    <row r="29" spans="1:12" ht="27.75" customHeight="1">
      <c r="A29" s="62" t="s">
        <v>368</v>
      </c>
      <c r="B29" s="62" t="s">
        <v>369</v>
      </c>
      <c r="C29" s="62" t="s">
        <v>370</v>
      </c>
      <c r="D29" s="62" t="s">
        <v>371</v>
      </c>
      <c r="E29" s="62" t="s">
        <v>372</v>
      </c>
      <c r="F29" s="62" t="s">
        <v>313</v>
      </c>
      <c r="G29" s="62" t="s">
        <v>373</v>
      </c>
    </row>
    <row r="30" spans="1:12" ht="15" customHeight="1">
      <c r="A30" s="60" t="s">
        <v>374</v>
      </c>
      <c r="B30" s="32">
        <v>70.349999999999994</v>
      </c>
      <c r="C30" s="33">
        <v>0.06</v>
      </c>
      <c r="D30" s="33">
        <v>7.4800000000000005E-2</v>
      </c>
      <c r="E30" s="33">
        <v>0.72199999999999998</v>
      </c>
      <c r="F30" s="34">
        <v>1.3</v>
      </c>
      <c r="G30" s="60" t="s">
        <v>375</v>
      </c>
    </row>
    <row r="31" spans="1:12" ht="15" customHeight="1">
      <c r="A31" s="60" t="s">
        <v>376</v>
      </c>
      <c r="B31" s="32">
        <v>73.94</v>
      </c>
      <c r="C31" s="33">
        <v>6.7799999999999999E-2</v>
      </c>
      <c r="D31" s="33">
        <v>0.1</v>
      </c>
      <c r="E31" s="33">
        <v>0.75</v>
      </c>
      <c r="F31" s="34">
        <v>1.33</v>
      </c>
      <c r="G31" s="60" t="s">
        <v>377</v>
      </c>
    </row>
    <row r="32" spans="1:12" ht="39.75" customHeight="1">
      <c r="A32" s="77" t="s">
        <v>378</v>
      </c>
      <c r="B32" s="77"/>
      <c r="C32" s="77"/>
      <c r="D32" s="77"/>
      <c r="E32" s="77"/>
      <c r="F32" s="77"/>
      <c r="G32" s="77"/>
      <c r="H32" s="77"/>
      <c r="I32" s="77"/>
      <c r="J32" s="77"/>
      <c r="K32" s="77"/>
      <c r="L32" s="77"/>
    </row>
    <row r="33" spans="1:12" ht="15" customHeight="1">
      <c r="A33" s="60"/>
      <c r="B33" s="35"/>
      <c r="C33" s="35"/>
      <c r="D33" s="35"/>
      <c r="E33" s="60"/>
    </row>
    <row r="34" spans="1:12" ht="27.75" customHeight="1">
      <c r="A34" s="60" t="s">
        <v>379</v>
      </c>
      <c r="B34" s="30">
        <f>IF(ISNUMBER(A6),(1+A6)/(1+Inputs!$B$63)-1,"n/a")</f>
        <v>-4.2918973189212117E-3</v>
      </c>
      <c r="C34" s="35"/>
      <c r="D34" s="35"/>
      <c r="E34" s="60"/>
    </row>
    <row r="35" spans="1:12" ht="27.75" customHeight="1">
      <c r="A35" s="60" t="s">
        <v>380</v>
      </c>
      <c r="B35" s="30">
        <f>IF(ISNUMBER(E6),(1+E6)/(1+Inputs!$B$63)-1,"n/a")</f>
        <v>-2.2676269740444566E-2</v>
      </c>
      <c r="C35" s="35"/>
      <c r="D35" s="35"/>
      <c r="E35" s="60"/>
    </row>
    <row r="36" spans="1:12" ht="15" customHeight="1">
      <c r="A36" s="60" t="s">
        <v>381</v>
      </c>
      <c r="B36" s="36" t="str">
        <f>"Price: "&amp;Cover!B17&amp;" / Capture: "&amp;Cover!B16</f>
        <v>Price: Base / Capture: Base</v>
      </c>
      <c r="C36" s="35"/>
      <c r="D36" s="35"/>
      <c r="E36" s="60"/>
    </row>
    <row r="37" spans="1:12" ht="19.5" customHeight="1">
      <c r="A37" s="64" t="s">
        <v>382</v>
      </c>
      <c r="B37" s="64"/>
      <c r="C37" s="64"/>
      <c r="D37" s="64"/>
      <c r="E37" s="64"/>
      <c r="F37" s="64"/>
      <c r="G37" s="64"/>
      <c r="H37" s="64"/>
      <c r="I37" s="64"/>
      <c r="J37" s="64"/>
      <c r="K37" s="64"/>
      <c r="L37" s="64"/>
    </row>
    <row r="38" spans="1:12" ht="15" customHeight="1">
      <c r="A38" s="62" t="s">
        <v>238</v>
      </c>
      <c r="B38" s="62" t="s">
        <v>383</v>
      </c>
      <c r="C38" s="62" t="s">
        <v>342</v>
      </c>
      <c r="D38" s="62" t="s">
        <v>33</v>
      </c>
      <c r="E38" s="62" t="s">
        <v>286</v>
      </c>
      <c r="F38" s="62" t="s">
        <v>310</v>
      </c>
      <c r="G38" s="62" t="s">
        <v>312</v>
      </c>
    </row>
    <row r="39" spans="1:12" ht="15" customHeight="1">
      <c r="A39" s="60">
        <v>2026</v>
      </c>
      <c r="B39" s="26">
        <f>Cashflow!I5</f>
        <v>0</v>
      </c>
      <c r="C39" s="26">
        <f>Cashflow!J5</f>
        <v>0</v>
      </c>
      <c r="D39" s="26">
        <f>Cashflow!B5</f>
        <v>0</v>
      </c>
      <c r="E39" s="26">
        <f>Cashflow!D5</f>
        <v>0</v>
      </c>
      <c r="F39" s="26">
        <f>Cashflow!G5</f>
        <v>0</v>
      </c>
      <c r="G39" s="34" t="str">
        <f>Financing!I14</f>
        <v/>
      </c>
    </row>
    <row r="40" spans="1:12" ht="15" customHeight="1">
      <c r="A40" s="60">
        <v>2027</v>
      </c>
      <c r="B40" s="26">
        <f>Cashflow!I6</f>
        <v>-153000000</v>
      </c>
      <c r="C40" s="26">
        <f>Cashflow!J6</f>
        <v>-81578692.208556041</v>
      </c>
      <c r="D40" s="26">
        <f>Cashflow!B6</f>
        <v>0</v>
      </c>
      <c r="E40" s="26">
        <f>Cashflow!D6</f>
        <v>0</v>
      </c>
      <c r="F40" s="26">
        <f>Cashflow!G6</f>
        <v>0</v>
      </c>
      <c r="G40" s="34" t="str">
        <f>Financing!I15</f>
        <v/>
      </c>
    </row>
    <row r="41" spans="1:12" ht="15" customHeight="1">
      <c r="A41" s="60">
        <v>2028</v>
      </c>
      <c r="B41" s="26">
        <f>Cashflow!I7</f>
        <v>10025640</v>
      </c>
      <c r="C41" s="26">
        <f>Cashflow!J7</f>
        <v>2313609.230769231</v>
      </c>
      <c r="D41" s="26">
        <f>Cashflow!B7</f>
        <v>14603400</v>
      </c>
      <c r="E41" s="26">
        <f>Cashflow!D7</f>
        <v>10025640</v>
      </c>
      <c r="F41" s="26">
        <f>Cashflow!G7</f>
        <v>7712030.769230769</v>
      </c>
      <c r="G41" s="34">
        <f>Financing!I16</f>
        <v>1.3</v>
      </c>
    </row>
    <row r="42" spans="1:12" ht="15" customHeight="1">
      <c r="A42" s="60">
        <v>2029</v>
      </c>
      <c r="B42" s="26">
        <f>Cashflow!I8</f>
        <v>9894184.8000000007</v>
      </c>
      <c r="C42" s="26">
        <f>Cashflow!J8</f>
        <v>2283273.4153846158</v>
      </c>
      <c r="D42" s="26">
        <f>Cashflow!B8</f>
        <v>14563500</v>
      </c>
      <c r="E42" s="26">
        <f>Cashflow!D8</f>
        <v>9894184.8000000007</v>
      </c>
      <c r="F42" s="26">
        <f>Cashflow!G8</f>
        <v>7610911.384615385</v>
      </c>
      <c r="G42" s="34">
        <f>Financing!I17</f>
        <v>1.3</v>
      </c>
    </row>
    <row r="43" spans="1:12" ht="15" customHeight="1">
      <c r="A43" s="60">
        <v>2030</v>
      </c>
      <c r="B43" s="26">
        <f>Cashflow!I9</f>
        <v>9800798.4959999993</v>
      </c>
      <c r="C43" s="26">
        <f>Cashflow!J9</f>
        <v>2261722.7298461543</v>
      </c>
      <c r="D43" s="26">
        <f>Cashflow!B9</f>
        <v>14563500</v>
      </c>
      <c r="E43" s="26">
        <f>Cashflow!D9</f>
        <v>9800798.4959999993</v>
      </c>
      <c r="F43" s="26">
        <f>Cashflow!G9</f>
        <v>7539075.766153845</v>
      </c>
      <c r="G43" s="34">
        <f>Financing!I18</f>
        <v>1.3</v>
      </c>
    </row>
    <row r="44" spans="1:12" ht="15" customHeight="1">
      <c r="A44" s="60">
        <v>2031</v>
      </c>
      <c r="B44" s="26">
        <f>Cashflow!I10</f>
        <v>9705544.4659199994</v>
      </c>
      <c r="C44" s="26">
        <f>Cashflow!J10</f>
        <v>2239741.0305969231</v>
      </c>
      <c r="D44" s="26">
        <f>Cashflow!B10</f>
        <v>14563500</v>
      </c>
      <c r="E44" s="26">
        <f>Cashflow!D10</f>
        <v>9705544.4659199994</v>
      </c>
      <c r="F44" s="26">
        <f>Cashflow!G10</f>
        <v>7465803.4353230763</v>
      </c>
      <c r="G44" s="34">
        <f>Financing!I19</f>
        <v>1.3</v>
      </c>
    </row>
    <row r="45" spans="1:12" ht="15" customHeight="1">
      <c r="A45" s="60">
        <v>2032</v>
      </c>
      <c r="B45" s="26">
        <f>Cashflow!I11</f>
        <v>9648285.3552384004</v>
      </c>
      <c r="C45" s="26">
        <f>Cashflow!J11</f>
        <v>2226527.3896703999</v>
      </c>
      <c r="D45" s="26">
        <f>Cashflow!B11</f>
        <v>14603400</v>
      </c>
      <c r="E45" s="26">
        <f>Cashflow!D11</f>
        <v>9648285.3552384004</v>
      </c>
      <c r="F45" s="26">
        <f>Cashflow!G11</f>
        <v>7421757.9655680005</v>
      </c>
      <c r="G45" s="34">
        <f>Financing!I20</f>
        <v>1.3</v>
      </c>
    </row>
    <row r="46" spans="1:12" ht="15" customHeight="1">
      <c r="A46" s="60">
        <v>2033</v>
      </c>
      <c r="B46" s="26">
        <f>Cashflow!I12</f>
        <v>9509283.062343169</v>
      </c>
      <c r="C46" s="26">
        <f>Cashflow!J12</f>
        <v>2194449.9374638088</v>
      </c>
      <c r="D46" s="26">
        <f>Cashflow!B12</f>
        <v>14563500</v>
      </c>
      <c r="E46" s="26">
        <f>Cashflow!D12</f>
        <v>9509283.062343169</v>
      </c>
      <c r="F46" s="26">
        <f>Cashflow!G12</f>
        <v>7314833.1248793602</v>
      </c>
      <c r="G46" s="34">
        <f>Financing!I21</f>
        <v>1.3</v>
      </c>
    </row>
    <row r="47" spans="1:12" ht="15" customHeight="1">
      <c r="A47" s="60">
        <v>2034</v>
      </c>
      <c r="B47" s="26">
        <f>Cashflow!I13</f>
        <v>9408198.7235900313</v>
      </c>
      <c r="C47" s="26">
        <f>Cashflow!J13</f>
        <v>2171122.7823669314</v>
      </c>
      <c r="D47" s="26">
        <f>Cashflow!B13</f>
        <v>14563500</v>
      </c>
      <c r="E47" s="26">
        <f>Cashflow!D13</f>
        <v>9408198.7235900313</v>
      </c>
      <c r="F47" s="26">
        <f>Cashflow!G13</f>
        <v>7237075.9412230998</v>
      </c>
      <c r="G47" s="34">
        <f>Financing!I22</f>
        <v>1.3000000000000003</v>
      </c>
    </row>
    <row r="48" spans="1:12" ht="15" customHeight="1">
      <c r="A48" s="60">
        <v>2035</v>
      </c>
      <c r="B48" s="26">
        <f>Cashflow!I14</f>
        <v>9305092.6980618313</v>
      </c>
      <c r="C48" s="26">
        <f>Cashflow!J14</f>
        <v>2147329.0841681156</v>
      </c>
      <c r="D48" s="26">
        <f>Cashflow!B14</f>
        <v>14563500</v>
      </c>
      <c r="E48" s="26">
        <f>Cashflow!D14</f>
        <v>9305092.6980618313</v>
      </c>
      <c r="F48" s="26">
        <f>Cashflow!G14</f>
        <v>7157763.6138937157</v>
      </c>
      <c r="G48" s="34">
        <f>Financing!I23</f>
        <v>1.3</v>
      </c>
    </row>
    <row r="49" spans="1:7" ht="15" customHeight="1">
      <c r="A49" s="60">
        <v>2036</v>
      </c>
      <c r="B49" s="26">
        <f>Cashflow!I15</f>
        <v>9239824.5520230681</v>
      </c>
      <c r="C49" s="26">
        <f>Cashflow!J15</f>
        <v>2132267.2043130156</v>
      </c>
      <c r="D49" s="26">
        <f>Cashflow!B15</f>
        <v>14603400</v>
      </c>
      <c r="E49" s="26">
        <f>Cashflow!D15</f>
        <v>9239824.5520230681</v>
      </c>
      <c r="F49" s="26">
        <f>Cashflow!G15</f>
        <v>7107557.3477100525</v>
      </c>
      <c r="G49" s="34">
        <f>Financing!I24</f>
        <v>1.3</v>
      </c>
    </row>
    <row r="50" spans="1:7" ht="15" customHeight="1">
      <c r="A50" s="60">
        <v>2037</v>
      </c>
      <c r="B50" s="26">
        <f>Cashflow!I16</f>
        <v>9092653.0430635326</v>
      </c>
      <c r="C50" s="26">
        <f>Cashflow!J16</f>
        <v>2098304.548399277</v>
      </c>
      <c r="D50" s="26">
        <f>Cashflow!B16</f>
        <v>14563500</v>
      </c>
      <c r="E50" s="26">
        <f>Cashflow!D16</f>
        <v>9092653.0430635326</v>
      </c>
      <c r="F50" s="26">
        <f>Cashflow!G16</f>
        <v>6994348.4946642555</v>
      </c>
      <c r="G50" s="34">
        <f>Financing!I25</f>
        <v>1.3</v>
      </c>
    </row>
    <row r="51" spans="1:7" ht="15" customHeight="1">
      <c r="A51" s="60">
        <v>2038</v>
      </c>
      <c r="B51" s="26">
        <f>Cashflow!I17</f>
        <v>8983236.1039248016</v>
      </c>
      <c r="C51" s="26">
        <f>Cashflow!J17</f>
        <v>2073054.4855211079</v>
      </c>
      <c r="D51" s="26">
        <f>Cashflow!B17</f>
        <v>14563500</v>
      </c>
      <c r="E51" s="26">
        <f>Cashflow!D17</f>
        <v>8983236.1039248016</v>
      </c>
      <c r="F51" s="26">
        <f>Cashflow!G17</f>
        <v>6910181.6184036937</v>
      </c>
      <c r="G51" s="34">
        <f>Financing!I26</f>
        <v>1.3</v>
      </c>
    </row>
    <row r="52" spans="1:7" ht="15" customHeight="1">
      <c r="A52" s="60">
        <v>2039</v>
      </c>
      <c r="B52" s="26">
        <f>Cashflow!I18</f>
        <v>8871630.8260032963</v>
      </c>
      <c r="C52" s="26">
        <f>Cashflow!J18</f>
        <v>2047299.4213853767</v>
      </c>
      <c r="D52" s="26">
        <f>Cashflow!B18</f>
        <v>14563500</v>
      </c>
      <c r="E52" s="26">
        <f>Cashflow!D18</f>
        <v>8871630.8260032963</v>
      </c>
      <c r="F52" s="26">
        <f>Cashflow!G18</f>
        <v>6824331.4046179196</v>
      </c>
      <c r="G52" s="34">
        <f>Financing!I27</f>
        <v>1.3</v>
      </c>
    </row>
    <row r="53" spans="1:7" ht="15" customHeight="1">
      <c r="A53" s="60">
        <v>2040</v>
      </c>
      <c r="B53" s="26">
        <f>Cashflow!I19</f>
        <v>8797693.442523364</v>
      </c>
      <c r="C53" s="26">
        <f>Cashflow!J19</f>
        <v>2030236.9482746227</v>
      </c>
      <c r="D53" s="26">
        <f>Cashflow!B19</f>
        <v>14603400</v>
      </c>
      <c r="E53" s="26">
        <f>Cashflow!D19</f>
        <v>8797693.442523364</v>
      </c>
      <c r="F53" s="26">
        <f>Cashflow!G19</f>
        <v>6767456.4942487413</v>
      </c>
      <c r="G53" s="34">
        <f>Financing!I28</f>
        <v>1.3</v>
      </c>
    </row>
    <row r="54" spans="1:7" ht="15" customHeight="1">
      <c r="A54" s="60">
        <v>2041</v>
      </c>
      <c r="B54" s="26">
        <f>Cashflow!I20</f>
        <v>8641679.3113738317</v>
      </c>
      <c r="C54" s="26">
        <f>Cashflow!J20</f>
        <v>1994233.6872401154</v>
      </c>
      <c r="D54" s="26">
        <f>Cashflow!B20</f>
        <v>14563500</v>
      </c>
      <c r="E54" s="26">
        <f>Cashflow!D20</f>
        <v>8641679.3113738317</v>
      </c>
      <c r="F54" s="26">
        <f>Cashflow!G20</f>
        <v>6647445.6241337163</v>
      </c>
      <c r="G54" s="34">
        <f>Financing!I29</f>
        <v>1.3</v>
      </c>
    </row>
    <row r="55" spans="1:7" ht="15" customHeight="1">
      <c r="A55" s="60">
        <v>2042</v>
      </c>
      <c r="B55" s="26">
        <f>Cashflow!I21</f>
        <v>8523242.8976013064</v>
      </c>
      <c r="C55" s="26">
        <f>Cashflow!J21</f>
        <v>1966902.2071387628</v>
      </c>
      <c r="D55" s="26">
        <f>Cashflow!B21</f>
        <v>14563500</v>
      </c>
      <c r="E55" s="26">
        <f>Cashflow!D21</f>
        <v>8523242.8976013064</v>
      </c>
      <c r="F55" s="26">
        <f>Cashflow!G21</f>
        <v>6556340.6904625436</v>
      </c>
      <c r="G55" s="34">
        <f>Financing!I30</f>
        <v>1.3</v>
      </c>
    </row>
    <row r="56" spans="1:7" ht="15" customHeight="1">
      <c r="A56" s="60">
        <v>2043</v>
      </c>
      <c r="B56" s="26">
        <f>Cashflow!I22</f>
        <v>4004149.2375769876</v>
      </c>
      <c r="C56" s="26">
        <f>Cashflow!J22</f>
        <v>4004149.237576995</v>
      </c>
      <c r="D56" s="26">
        <f>Cashflow!B22</f>
        <v>10165211.482023655</v>
      </c>
      <c r="E56" s="26">
        <f>Cashflow!D22</f>
        <v>4004149.2375769876</v>
      </c>
      <c r="F56" s="26">
        <f>Cashflow!G22</f>
        <v>-7.550697773694992E-9</v>
      </c>
      <c r="G56" s="34" t="str">
        <f>Financing!I31</f>
        <v/>
      </c>
    </row>
    <row r="57" spans="1:7" ht="15" customHeight="1">
      <c r="A57" s="60">
        <v>2044</v>
      </c>
      <c r="B57" s="26">
        <f>Cashflow!I23</f>
        <v>4257805.5834021633</v>
      </c>
      <c r="C57" s="26">
        <f>Cashflow!J23</f>
        <v>4257805.5834021708</v>
      </c>
      <c r="D57" s="26">
        <f>Cashflow!B23</f>
        <v>10542089.072737763</v>
      </c>
      <c r="E57" s="26">
        <f>Cashflow!D23</f>
        <v>4257805.5834021633</v>
      </c>
      <c r="F57" s="26">
        <f>Cashflow!G23</f>
        <v>-7.550697773694992E-9</v>
      </c>
      <c r="G57" s="34" t="str">
        <f>Financing!I32</f>
        <v/>
      </c>
    </row>
    <row r="58" spans="1:7" ht="15" customHeight="1">
      <c r="A58" s="60">
        <v>2045</v>
      </c>
      <c r="B58" s="26">
        <f>Cashflow!I24</f>
        <v>4380816.9785350179</v>
      </c>
      <c r="C58" s="26">
        <f>Cashflow!J24</f>
        <v>4461247.3383697374</v>
      </c>
      <c r="D58" s="26">
        <f>Cashflow!B24</f>
        <v>10871216.497492041</v>
      </c>
      <c r="E58" s="26">
        <f>Cashflow!D24</f>
        <v>4461247.3383697299</v>
      </c>
      <c r="F58" s="26">
        <f>Cashflow!G24</f>
        <v>-7.550697773694992E-9</v>
      </c>
      <c r="G58" s="34" t="str">
        <f>Financing!I33</f>
        <v/>
      </c>
    </row>
    <row r="59" spans="1:7" ht="15" customHeight="1">
      <c r="A59" s="60">
        <v>2046</v>
      </c>
      <c r="B59" s="26">
        <f>Cashflow!I25</f>
        <v>3818774.8680417361</v>
      </c>
      <c r="C59" s="26">
        <f>Cashflow!J25</f>
        <v>4701090.825650393</v>
      </c>
      <c r="D59" s="26">
        <f>Cashflow!B25</f>
        <v>11239259.367955144</v>
      </c>
      <c r="E59" s="26">
        <f>Cashflow!D25</f>
        <v>4701090.8256503856</v>
      </c>
      <c r="F59" s="26">
        <f>Cashflow!G25</f>
        <v>-7.550697773694992E-9</v>
      </c>
      <c r="G59" s="34" t="str">
        <f>Financing!I34</f>
        <v/>
      </c>
    </row>
    <row r="60" spans="1:7" ht="15" customHeight="1">
      <c r="A60" s="60">
        <v>2047</v>
      </c>
      <c r="B60" s="26">
        <f>Cashflow!I26</f>
        <v>4003290.0315434267</v>
      </c>
      <c r="C60" s="26">
        <f>Cashflow!J26</f>
        <v>4948743.5534869255</v>
      </c>
      <c r="D60" s="26">
        <f>Cashflow!B26</f>
        <v>11617675.466637772</v>
      </c>
      <c r="E60" s="26">
        <f>Cashflow!D26</f>
        <v>4948743.5534869181</v>
      </c>
      <c r="F60" s="26">
        <f>Cashflow!G26</f>
        <v>-7.550697773694992E-9</v>
      </c>
      <c r="G60" s="34" t="str">
        <f>Financing!I35</f>
        <v/>
      </c>
    </row>
    <row r="61" spans="1:7" ht="15" customHeight="1">
      <c r="A61" s="60">
        <v>2048</v>
      </c>
      <c r="B61" s="26">
        <f>Cashflow!I27</f>
        <v>4223739.50872155</v>
      </c>
      <c r="C61" s="26">
        <f>Cashflow!J27</f>
        <v>5237317.1116560353</v>
      </c>
      <c r="D61" s="26">
        <f>Cashflow!B27</f>
        <v>12039627.663069898</v>
      </c>
      <c r="E61" s="26">
        <f>Cashflow!D27</f>
        <v>5237317.1116560278</v>
      </c>
      <c r="F61" s="26">
        <f>Cashflow!G27</f>
        <v>-7.550697773694992E-9</v>
      </c>
      <c r="G61" s="34" t="str">
        <f>Financing!I36</f>
        <v/>
      </c>
    </row>
    <row r="62" spans="1:7" ht="15" customHeight="1">
      <c r="A62" s="60">
        <v>2049</v>
      </c>
      <c r="B62" s="26">
        <f>Cashflow!I28</f>
        <v>4400601.0465023275</v>
      </c>
      <c r="C62" s="26">
        <f>Cashflow!J28</f>
        <v>5468347.993329796</v>
      </c>
      <c r="D62" s="26">
        <f>Cashflow!B28</f>
        <v>12406704.755771935</v>
      </c>
      <c r="E62" s="26">
        <f>Cashflow!D28</f>
        <v>5468347.9933297886</v>
      </c>
      <c r="F62" s="26">
        <f>Cashflow!G28</f>
        <v>-7.550697773694992E-9</v>
      </c>
      <c r="G62" s="34" t="str">
        <f>Financing!I37</f>
        <v/>
      </c>
    </row>
    <row r="63" spans="1:7" ht="15" customHeight="1">
      <c r="A63" s="60">
        <v>2050</v>
      </c>
      <c r="B63" s="26">
        <f>Cashflow!I29</f>
        <v>4612430.2729286095</v>
      </c>
      <c r="C63" s="26">
        <f>Cashflow!J29</f>
        <v>5740749.3053402081</v>
      </c>
      <c r="D63" s="26">
        <f>Cashflow!B29</f>
        <v>12817873.203031192</v>
      </c>
      <c r="E63" s="26">
        <f>Cashflow!D29</f>
        <v>5740749.3053402007</v>
      </c>
      <c r="F63" s="26">
        <f>Cashflow!G29</f>
        <v>-7.550697773694992E-9</v>
      </c>
      <c r="G63" s="34" t="str">
        <f>Financing!I38</f>
        <v/>
      </c>
    </row>
    <row r="64" spans="1:7" ht="15" customHeight="1">
      <c r="A64" s="60">
        <v>2051</v>
      </c>
      <c r="B64" s="26">
        <f>Cashflow!I30</f>
        <v>4699622.0170797883</v>
      </c>
      <c r="C64" s="26">
        <f>Cashflow!J30</f>
        <v>5292434.0721640652</v>
      </c>
      <c r="D64" s="26">
        <f>Cashflow!B30</f>
        <v>13074230.667091815</v>
      </c>
      <c r="E64" s="26">
        <f>Cashflow!D30</f>
        <v>5855564.2914470052</v>
      </c>
      <c r="F64" s="26">
        <f>Cashflow!G30</f>
        <v>-7.550697773694992E-9</v>
      </c>
      <c r="G64" s="34" t="str">
        <f>Financing!I39</f>
        <v/>
      </c>
    </row>
    <row r="65" spans="1:7" ht="15" customHeight="1">
      <c r="A65" s="60">
        <v>2052</v>
      </c>
      <c r="B65" s="26">
        <f>Cashflow!I31</f>
        <v>1472138.6948113893</v>
      </c>
      <c r="C65" s="26">
        <f>Cashflow!J31</f>
        <v>1472138.6948113958</v>
      </c>
      <c r="D65" s="26">
        <f>Cashflow!B31</f>
        <v>13372251.486681417</v>
      </c>
      <c r="E65" s="26">
        <f>Cashflow!D31</f>
        <v>6009211.7835237095</v>
      </c>
      <c r="F65" s="26">
        <f>Cashflow!G31</f>
        <v>-7.550697773694992E-9</v>
      </c>
      <c r="G65" s="34" t="str">
        <f>Financing!I40</f>
        <v/>
      </c>
    </row>
    <row r="66" spans="1:7" ht="15" customHeight="1">
      <c r="A66" s="60">
        <v>2053</v>
      </c>
      <c r="B66" s="26">
        <f>Cashflow!I32</f>
        <v>0</v>
      </c>
      <c r="C66" s="26">
        <f>Cashflow!J32</f>
        <v>6.0405582189559934E-9</v>
      </c>
      <c r="D66" s="26">
        <f>Cashflow!B32</f>
        <v>0</v>
      </c>
      <c r="E66" s="26">
        <f>Cashflow!D32</f>
        <v>0</v>
      </c>
      <c r="F66" s="26">
        <f>Cashflow!G32</f>
        <v>-7.550697773694992E-9</v>
      </c>
      <c r="G66" s="34" t="str">
        <f>Financing!I41</f>
        <v/>
      </c>
    </row>
    <row r="67" spans="1:7" ht="15" customHeight="1">
      <c r="A67" s="60">
        <v>2054</v>
      </c>
      <c r="B67" s="26">
        <f>Cashflow!I33</f>
        <v>0</v>
      </c>
      <c r="C67" s="26">
        <f>Cashflow!J33</f>
        <v>6.0405582189559934E-9</v>
      </c>
      <c r="D67" s="26">
        <f>Cashflow!B33</f>
        <v>0</v>
      </c>
      <c r="E67" s="26">
        <f>Cashflow!D33</f>
        <v>0</v>
      </c>
      <c r="F67" s="26">
        <f>Cashflow!G33</f>
        <v>-7.550697773694992E-9</v>
      </c>
      <c r="G67" s="34" t="str">
        <f>Financing!I42</f>
        <v/>
      </c>
    </row>
    <row r="68" spans="1:7" ht="15" customHeight="1">
      <c r="A68" s="60">
        <v>2055</v>
      </c>
      <c r="B68" s="26">
        <f>Cashflow!I34</f>
        <v>0</v>
      </c>
      <c r="C68" s="26">
        <f>Cashflow!J34</f>
        <v>6.0405582189559934E-9</v>
      </c>
      <c r="D68" s="26">
        <f>Cashflow!B34</f>
        <v>0</v>
      </c>
      <c r="E68" s="26">
        <f>Cashflow!D34</f>
        <v>0</v>
      </c>
      <c r="F68" s="26">
        <f>Cashflow!G34</f>
        <v>-7.550697773694992E-9</v>
      </c>
      <c r="G68" s="34" t="str">
        <f>Financing!I43</f>
        <v/>
      </c>
    </row>
    <row r="69" spans="1:7" ht="15" customHeight="1">
      <c r="A69" s="60">
        <v>2056</v>
      </c>
      <c r="B69" s="26">
        <f>Cashflow!I35</f>
        <v>0</v>
      </c>
      <c r="C69" s="26">
        <f>Cashflow!J35</f>
        <v>6.0405582189559934E-9</v>
      </c>
      <c r="D69" s="26">
        <f>Cashflow!B35</f>
        <v>0</v>
      </c>
      <c r="E69" s="26">
        <f>Cashflow!D35</f>
        <v>0</v>
      </c>
      <c r="F69" s="26">
        <f>Cashflow!G35</f>
        <v>-7.550697773694992E-9</v>
      </c>
      <c r="G69" s="34" t="str">
        <f>Financing!I44</f>
        <v/>
      </c>
    </row>
    <row r="70" spans="1:7" ht="15" customHeight="1">
      <c r="A70" s="60">
        <v>2057</v>
      </c>
      <c r="B70" s="26">
        <f>Cashflow!I36</f>
        <v>0</v>
      </c>
      <c r="C70" s="26">
        <f>Cashflow!J36</f>
        <v>6.0405582189559934E-9</v>
      </c>
      <c r="D70" s="26">
        <f>Cashflow!B36</f>
        <v>0</v>
      </c>
      <c r="E70" s="26">
        <f>Cashflow!D36</f>
        <v>0</v>
      </c>
      <c r="F70" s="26">
        <f>Cashflow!G36</f>
        <v>-7.550697773694992E-9</v>
      </c>
      <c r="G70" s="34" t="str">
        <f>Financing!I45</f>
        <v/>
      </c>
    </row>
    <row r="71" spans="1:7" ht="15" customHeight="1">
      <c r="A71" s="60">
        <v>2058</v>
      </c>
      <c r="B71" s="26">
        <f>Cashflow!I37</f>
        <v>0</v>
      </c>
      <c r="C71" s="26">
        <f>Cashflow!J37</f>
        <v>6.0405582189559934E-9</v>
      </c>
      <c r="D71" s="26">
        <f>Cashflow!B37</f>
        <v>0</v>
      </c>
      <c r="E71" s="26">
        <f>Cashflow!D37</f>
        <v>0</v>
      </c>
      <c r="F71" s="26">
        <f>Cashflow!G37</f>
        <v>-7.550697773694992E-9</v>
      </c>
      <c r="G71" s="34" t="str">
        <f>Financing!I46</f>
        <v/>
      </c>
    </row>
  </sheetData>
  <mergeCells count="22">
    <mergeCell ref="A37:L37"/>
    <mergeCell ref="A19:L19"/>
    <mergeCell ref="A21:L21"/>
    <mergeCell ref="A26:L26"/>
    <mergeCell ref="A28:L28"/>
    <mergeCell ref="A32:L32"/>
    <mergeCell ref="A10:C11"/>
    <mergeCell ref="E10:G11"/>
    <mergeCell ref="I10:K11"/>
    <mergeCell ref="E13:G13"/>
    <mergeCell ref="A14:L14"/>
    <mergeCell ref="A6:C7"/>
    <mergeCell ref="E6:G7"/>
    <mergeCell ref="I6:K7"/>
    <mergeCell ref="A9:C9"/>
    <mergeCell ref="E9:G9"/>
    <mergeCell ref="I9:K9"/>
    <mergeCell ref="A1:L1"/>
    <mergeCell ref="A3:L3"/>
    <mergeCell ref="A5:C5"/>
    <mergeCell ref="E5:G5"/>
    <mergeCell ref="I5:K5"/>
  </mergeCells>
  <pageMargins left="0.75" right="0.75" top="1" bottom="1" header="0.511811023622047" footer="0.5"/>
  <pageSetup fitToHeight="0" orientation="portrait" horizontalDpi="300" verticalDpi="300"/>
  <headerFooter>
    <oddFooter>&amp;CFinnish Onshore Wind Project Finance Model&amp;RPage &amp;P of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94"/>
  <sheetViews>
    <sheetView showGridLines="0" zoomScaleNormal="100" workbookViewId="0">
      <pane xSplit="1" topLeftCell="B1" activePane="topRight" state="frozen"/>
      <selection pane="topRight" activeCell="D10" sqref="D10"/>
      <selection activeCell="A62" sqref="A62"/>
    </sheetView>
  </sheetViews>
  <sheetFormatPr defaultColWidth="8.7109375" defaultRowHeight="15"/>
  <cols>
    <col min="1" max="1" width="34" style="1" customWidth="1"/>
    <col min="2" max="3" width="16" style="1" customWidth="1"/>
    <col min="4" max="4" width="70" style="1" customWidth="1"/>
    <col min="5" max="5" width="16" style="1" customWidth="1"/>
    <col min="6" max="20" width="15" style="1" customWidth="1"/>
    <col min="21" max="21" width="15" customWidth="1"/>
  </cols>
  <sheetData>
    <row r="1" spans="1:20" ht="20.25" customHeight="1">
      <c r="A1" s="63" t="s">
        <v>384</v>
      </c>
      <c r="B1" s="63"/>
      <c r="C1" s="63"/>
      <c r="D1" s="63"/>
      <c r="E1" s="63"/>
      <c r="F1" s="63"/>
      <c r="G1" s="63"/>
      <c r="H1" s="63"/>
      <c r="I1" s="63"/>
      <c r="J1" s="63"/>
      <c r="K1" s="63"/>
      <c r="L1" s="63"/>
      <c r="M1" s="63"/>
      <c r="N1" s="63"/>
      <c r="O1" s="63"/>
      <c r="P1" s="63"/>
      <c r="Q1" s="63"/>
      <c r="R1" s="63"/>
      <c r="S1" s="63"/>
      <c r="T1" s="63"/>
    </row>
    <row r="2" spans="1:20" ht="42" customHeight="1">
      <c r="A2" s="77" t="s">
        <v>385</v>
      </c>
      <c r="B2" s="77"/>
      <c r="C2" s="77"/>
      <c r="D2" s="77"/>
      <c r="E2" s="77"/>
      <c r="F2" s="77"/>
      <c r="G2" s="77"/>
      <c r="H2" s="77"/>
      <c r="I2" s="77"/>
      <c r="J2" s="77"/>
      <c r="K2" s="77"/>
      <c r="L2" s="77"/>
      <c r="M2" s="77"/>
      <c r="N2" s="77"/>
      <c r="O2" s="77"/>
      <c r="P2" s="77"/>
      <c r="Q2" s="77"/>
      <c r="R2" s="77"/>
      <c r="S2" s="77"/>
      <c r="T2" s="77"/>
    </row>
    <row r="4" spans="1:20" ht="15" customHeight="1">
      <c r="A4" s="64" t="s">
        <v>51</v>
      </c>
      <c r="B4" s="64"/>
      <c r="C4" s="64"/>
      <c r="D4" s="64"/>
      <c r="E4" s="64"/>
    </row>
    <row r="5" spans="1:20" ht="15" customHeight="1">
      <c r="A5" s="62" t="s">
        <v>54</v>
      </c>
      <c r="B5" s="62" t="s">
        <v>4</v>
      </c>
      <c r="C5" s="62" t="s">
        <v>5</v>
      </c>
      <c r="D5" s="62" t="s">
        <v>55</v>
      </c>
      <c r="E5" s="62" t="s">
        <v>6</v>
      </c>
    </row>
    <row r="6" spans="1:20" ht="15" customHeight="1">
      <c r="A6" s="60" t="s">
        <v>386</v>
      </c>
      <c r="B6" s="37">
        <v>25</v>
      </c>
      <c r="C6" s="60" t="s">
        <v>18</v>
      </c>
      <c r="D6" s="61" t="s">
        <v>387</v>
      </c>
      <c r="E6" s="4" t="s">
        <v>60</v>
      </c>
    </row>
    <row r="7" spans="1:20" ht="30" customHeight="1">
      <c r="A7" s="60" t="s">
        <v>388</v>
      </c>
      <c r="B7" s="37">
        <v>50</v>
      </c>
      <c r="C7" s="60" t="s">
        <v>102</v>
      </c>
      <c r="D7" s="61" t="s">
        <v>389</v>
      </c>
      <c r="E7" s="4" t="s">
        <v>60</v>
      </c>
    </row>
    <row r="8" spans="1:20" ht="15" customHeight="1">
      <c r="A8" s="60" t="s">
        <v>390</v>
      </c>
      <c r="B8" s="2" t="s">
        <v>22</v>
      </c>
      <c r="C8" s="60" t="s">
        <v>9</v>
      </c>
      <c r="D8" s="61" t="s">
        <v>391</v>
      </c>
      <c r="E8" s="60"/>
    </row>
    <row r="9" spans="1:20" ht="45" customHeight="1">
      <c r="A9" s="60" t="s">
        <v>392</v>
      </c>
      <c r="B9" s="38">
        <v>45000</v>
      </c>
      <c r="C9" s="60" t="s">
        <v>91</v>
      </c>
      <c r="D9" s="61" t="s">
        <v>393</v>
      </c>
      <c r="E9" s="4" t="s">
        <v>60</v>
      </c>
    </row>
    <row r="10" spans="1:20" ht="60" customHeight="1">
      <c r="A10" s="60" t="s">
        <v>394</v>
      </c>
      <c r="B10" s="38">
        <v>65000</v>
      </c>
      <c r="C10" s="60" t="s">
        <v>91</v>
      </c>
      <c r="D10" s="61" t="s">
        <v>395</v>
      </c>
      <c r="E10" s="4" t="s">
        <v>60</v>
      </c>
    </row>
    <row r="11" spans="1:20" ht="15" customHeight="1">
      <c r="A11" s="60" t="s">
        <v>396</v>
      </c>
      <c r="B11" s="38">
        <v>89000</v>
      </c>
      <c r="C11" s="60" t="s">
        <v>91</v>
      </c>
      <c r="D11" s="61" t="s">
        <v>397</v>
      </c>
      <c r="E11" s="5" t="s">
        <v>63</v>
      </c>
    </row>
    <row r="12" spans="1:20" ht="15" customHeight="1">
      <c r="A12" s="60" t="s">
        <v>398</v>
      </c>
      <c r="B12" s="39">
        <f>INDEX(B9:B11,MATCH(B8,{"Low";"Base";"High"},0))</f>
        <v>65000</v>
      </c>
      <c r="C12" s="60" t="s">
        <v>91</v>
      </c>
      <c r="D12" s="61" t="s">
        <v>399</v>
      </c>
      <c r="E12" s="60"/>
    </row>
    <row r="13" spans="1:20" ht="30" customHeight="1">
      <c r="A13" s="60" t="s">
        <v>400</v>
      </c>
      <c r="B13" s="40">
        <v>0.8</v>
      </c>
      <c r="C13" s="60" t="s">
        <v>401</v>
      </c>
      <c r="D13" s="61" t="s">
        <v>402</v>
      </c>
      <c r="E13" s="5" t="s">
        <v>63</v>
      </c>
    </row>
    <row r="14" spans="1:20" ht="30" customHeight="1">
      <c r="A14" s="60" t="s">
        <v>403</v>
      </c>
      <c r="B14" s="12">
        <v>547.5</v>
      </c>
      <c r="C14" s="60" t="s">
        <v>108</v>
      </c>
      <c r="D14" s="61" t="s">
        <v>404</v>
      </c>
      <c r="E14" s="5" t="s">
        <v>63</v>
      </c>
    </row>
    <row r="15" spans="1:20" ht="30" customHeight="1">
      <c r="A15" s="60" t="s">
        <v>405</v>
      </c>
      <c r="B15" s="40">
        <v>0.85</v>
      </c>
      <c r="C15" s="60" t="s">
        <v>70</v>
      </c>
      <c r="D15" s="61" t="s">
        <v>406</v>
      </c>
      <c r="E15" s="5" t="s">
        <v>63</v>
      </c>
    </row>
    <row r="16" spans="1:20" ht="45" customHeight="1">
      <c r="A16" s="60" t="s">
        <v>407</v>
      </c>
      <c r="B16" s="37">
        <v>287</v>
      </c>
      <c r="C16" s="60" t="s">
        <v>83</v>
      </c>
      <c r="D16" s="61" t="s">
        <v>408</v>
      </c>
      <c r="E16" s="5" t="s">
        <v>63</v>
      </c>
    </row>
    <row r="17" spans="1:5" ht="45" customHeight="1">
      <c r="A17" s="60" t="s">
        <v>409</v>
      </c>
      <c r="B17" s="40">
        <v>0</v>
      </c>
      <c r="C17" s="60" t="s">
        <v>410</v>
      </c>
      <c r="D17" s="61" t="s">
        <v>411</v>
      </c>
      <c r="E17" s="4" t="s">
        <v>60</v>
      </c>
    </row>
    <row r="18" spans="1:5" ht="15" customHeight="1">
      <c r="A18" s="60" t="s">
        <v>412</v>
      </c>
      <c r="B18" s="6">
        <v>1.4999999999999999E-2</v>
      </c>
      <c r="C18" s="60" t="s">
        <v>413</v>
      </c>
      <c r="D18" s="61" t="s">
        <v>414</v>
      </c>
      <c r="E18" s="4" t="s">
        <v>415</v>
      </c>
    </row>
    <row r="19" spans="1:5" ht="15" customHeight="1">
      <c r="A19" s="60" t="s">
        <v>416</v>
      </c>
      <c r="B19" s="40">
        <v>0.08</v>
      </c>
      <c r="C19" s="60" t="s">
        <v>401</v>
      </c>
      <c r="D19" s="61" t="s">
        <v>417</v>
      </c>
      <c r="E19" s="4" t="s">
        <v>415</v>
      </c>
    </row>
    <row r="20" spans="1:5" ht="45" customHeight="1">
      <c r="A20" s="60" t="s">
        <v>418</v>
      </c>
      <c r="B20" s="38">
        <v>2274</v>
      </c>
      <c r="C20" s="60" t="s">
        <v>91</v>
      </c>
      <c r="D20" s="61" t="s">
        <v>419</v>
      </c>
      <c r="E20" s="5" t="s">
        <v>113</v>
      </c>
    </row>
    <row r="21" spans="1:5" ht="15" customHeight="1">
      <c r="A21" s="60" t="s">
        <v>420</v>
      </c>
      <c r="B21" s="13">
        <v>1.07</v>
      </c>
      <c r="C21" s="60" t="s">
        <v>421</v>
      </c>
      <c r="D21" s="61" t="s">
        <v>422</v>
      </c>
      <c r="E21" s="5" t="s">
        <v>113</v>
      </c>
    </row>
    <row r="22" spans="1:5" ht="15" customHeight="1">
      <c r="A22" s="60" t="s">
        <v>423</v>
      </c>
      <c r="B22" s="13">
        <v>0.71</v>
      </c>
      <c r="C22" s="60" t="s">
        <v>153</v>
      </c>
      <c r="D22" s="61" t="s">
        <v>424</v>
      </c>
      <c r="E22" s="5" t="s">
        <v>113</v>
      </c>
    </row>
    <row r="23" spans="1:5" ht="27.75" customHeight="1">
      <c r="A23" s="60" t="s">
        <v>425</v>
      </c>
      <c r="B23" s="41">
        <f>Inputs!B51</f>
        <v>15</v>
      </c>
      <c r="C23" s="60" t="s">
        <v>16</v>
      </c>
      <c r="D23" s="61" t="s">
        <v>426</v>
      </c>
      <c r="E23" s="60"/>
    </row>
    <row r="24" spans="1:5" ht="45" customHeight="1">
      <c r="A24" s="60" t="s">
        <v>166</v>
      </c>
      <c r="B24" s="40">
        <v>0.25</v>
      </c>
      <c r="C24" s="60" t="s">
        <v>70</v>
      </c>
      <c r="D24" s="61" t="s">
        <v>427</v>
      </c>
      <c r="E24" s="4" t="s">
        <v>415</v>
      </c>
    </row>
    <row r="25" spans="1:5" ht="30" customHeight="1">
      <c r="A25" s="60" t="s">
        <v>428</v>
      </c>
      <c r="B25" s="6">
        <v>7.0000000000000007E-2</v>
      </c>
      <c r="C25" s="60" t="s">
        <v>70</v>
      </c>
      <c r="D25" s="61" t="s">
        <v>429</v>
      </c>
      <c r="E25" s="4" t="s">
        <v>60</v>
      </c>
    </row>
    <row r="26" spans="1:5" ht="15" customHeight="1">
      <c r="A26" s="60" t="s">
        <v>430</v>
      </c>
      <c r="B26" s="41">
        <f>Inputs!B9</f>
        <v>2028</v>
      </c>
      <c r="C26" s="60" t="s">
        <v>12</v>
      </c>
      <c r="D26" s="61" t="s">
        <v>431</v>
      </c>
      <c r="E26" s="60"/>
    </row>
    <row r="27" spans="1:5" ht="15" customHeight="1">
      <c r="A27" s="60" t="s">
        <v>182</v>
      </c>
      <c r="B27" s="42">
        <f>Inputs!B63</f>
        <v>0.02</v>
      </c>
      <c r="C27" s="60" t="s">
        <v>183</v>
      </c>
      <c r="D27" s="61" t="s">
        <v>432</v>
      </c>
      <c r="E27" s="60"/>
    </row>
    <row r="28" spans="1:5" ht="15" customHeight="1">
      <c r="A28" s="60" t="s">
        <v>111</v>
      </c>
      <c r="B28" s="43">
        <f>Inputs!B29</f>
        <v>0.2</v>
      </c>
      <c r="C28" s="60" t="s">
        <v>70</v>
      </c>
      <c r="D28" s="61" t="s">
        <v>433</v>
      </c>
      <c r="E28" s="60"/>
    </row>
    <row r="29" spans="1:5" ht="15" customHeight="1">
      <c r="A29" s="60" t="s">
        <v>434</v>
      </c>
      <c r="B29" s="25">
        <f>B16*1000*B7*(1-B17)</f>
        <v>14350000</v>
      </c>
      <c r="C29" s="60" t="s">
        <v>298</v>
      </c>
      <c r="D29" s="61" t="s">
        <v>435</v>
      </c>
      <c r="E29" s="60"/>
    </row>
    <row r="31" spans="1:5" ht="15" customHeight="1">
      <c r="A31" s="64" t="s">
        <v>436</v>
      </c>
      <c r="B31" s="64"/>
      <c r="C31" s="64"/>
      <c r="D31" s="64"/>
      <c r="E31" s="64"/>
    </row>
    <row r="32" spans="1:5" ht="15" customHeight="1">
      <c r="A32" s="60" t="s">
        <v>437</v>
      </c>
      <c r="B32" s="25">
        <f>-SUM(K62:K94)</f>
        <v>14637000</v>
      </c>
    </row>
    <row r="33" spans="1:5" ht="15" customHeight="1">
      <c r="A33" s="60" t="s">
        <v>438</v>
      </c>
      <c r="B33" s="25">
        <f>SUMPRODUCT(R62:R94,S62:S94)</f>
        <v>-2458845.9407694242</v>
      </c>
    </row>
    <row r="34" spans="1:5" ht="15" customHeight="1">
      <c r="A34" s="60" t="s">
        <v>439</v>
      </c>
      <c r="B34" s="18">
        <f>IFERROR(IRR(R62:R94,-0.05),"n/a")</f>
        <v>4.0520003089708601E-2</v>
      </c>
    </row>
    <row r="35" spans="1:5" ht="15" customHeight="1">
      <c r="A35" s="60" t="s">
        <v>440</v>
      </c>
      <c r="B35" s="18">
        <f>IF(ISNUMBER(B34),(1+B34)/(1+B27)-1,"n/a")</f>
        <v>2.0117650087949634E-2</v>
      </c>
    </row>
    <row r="36" spans="1:5" ht="15" customHeight="1">
      <c r="A36" s="60" t="s">
        <v>441</v>
      </c>
      <c r="B36" s="20">
        <f>IFERROR(INDEX(A62:A94,MATCH(1,INDEX((T62:T94&gt;=0)*(A62:A94&gt;=B26),0),0)),"not within life")</f>
        <v>2038</v>
      </c>
    </row>
    <row r="37" spans="1:5" ht="27.75" customHeight="1">
      <c r="A37" s="60" t="s">
        <v>442</v>
      </c>
      <c r="B37" s="25">
        <f>SUMIF(B62:B94,1,J62:J94)/B23</f>
        <v>1411883.3131476124</v>
      </c>
    </row>
    <row r="38" spans="1:5" ht="28.35">
      <c r="A38" s="60" t="s">
        <v>443</v>
      </c>
      <c r="B38" s="20" t="str">
        <f>IFERROR(INDEX(A62:A94,MATCH(1,INDEX((U62:U94&gt;=0)*(A62:A94&gt;=B26),0),0)),"not within life")</f>
        <v>not within life</v>
      </c>
    </row>
    <row r="39" spans="1:5" ht="15" customHeight="1">
      <c r="A39" s="64" t="s">
        <v>444</v>
      </c>
      <c r="B39" s="64"/>
      <c r="C39" s="64"/>
      <c r="D39" s="64"/>
      <c r="E39" s="64"/>
    </row>
    <row r="40" spans="1:5" ht="30" customHeight="1">
      <c r="A40" s="62" t="s">
        <v>445</v>
      </c>
      <c r="B40" s="62" t="s">
        <v>446</v>
      </c>
      <c r="C40" s="62" t="s">
        <v>447</v>
      </c>
      <c r="D40" s="62" t="s">
        <v>448</v>
      </c>
      <c r="E40" s="62" t="s">
        <v>449</v>
      </c>
    </row>
    <row r="41" spans="1:5" ht="15" customHeight="1">
      <c r="A41" s="44" t="s">
        <v>211</v>
      </c>
      <c r="B41" s="45">
        <v>45000</v>
      </c>
      <c r="C41" s="46">
        <v>-6536867</v>
      </c>
      <c r="D41" s="47">
        <v>-1.47E-2</v>
      </c>
      <c r="E41" s="48" t="s">
        <v>450</v>
      </c>
    </row>
    <row r="42" spans="1:5" ht="15" customHeight="1">
      <c r="A42" s="44" t="s">
        <v>22</v>
      </c>
      <c r="B42" s="45">
        <v>65000</v>
      </c>
      <c r="C42" s="46">
        <v>-2458846</v>
      </c>
      <c r="D42" s="47">
        <v>4.0500000000000001E-2</v>
      </c>
      <c r="E42" s="48">
        <v>2038</v>
      </c>
    </row>
    <row r="43" spans="1:5" ht="15" customHeight="1">
      <c r="A43" s="44" t="s">
        <v>219</v>
      </c>
      <c r="B43" s="45">
        <v>89000</v>
      </c>
      <c r="C43" s="46">
        <v>2113161</v>
      </c>
      <c r="D43" s="47">
        <v>9.3700000000000006E-2</v>
      </c>
      <c r="E43" s="48">
        <v>2035</v>
      </c>
    </row>
    <row r="44" spans="1:5" ht="15" customHeight="1">
      <c r="A44" s="44" t="s">
        <v>451</v>
      </c>
      <c r="B44" s="45">
        <v>65000</v>
      </c>
      <c r="C44" s="46">
        <v>-1045990</v>
      </c>
      <c r="D44" s="47">
        <v>5.6300000000000003E-2</v>
      </c>
      <c r="E44" s="48">
        <v>2037</v>
      </c>
    </row>
    <row r="45" spans="1:5" ht="15" customHeight="1">
      <c r="A45" s="44" t="s">
        <v>452</v>
      </c>
      <c r="B45" s="45">
        <v>77815</v>
      </c>
      <c r="C45" s="46">
        <v>0</v>
      </c>
      <c r="D45" s="47">
        <v>7.0000000000000007E-2</v>
      </c>
      <c r="E45" s="48">
        <v>2036</v>
      </c>
    </row>
    <row r="46" spans="1:5" ht="45" customHeight="1">
      <c r="A46" s="77" t="s">
        <v>453</v>
      </c>
      <c r="B46" s="77"/>
      <c r="C46" s="77"/>
      <c r="D46" s="77"/>
      <c r="E46" s="77"/>
    </row>
    <row r="48" spans="1:5" ht="15" customHeight="1">
      <c r="A48" s="64" t="s">
        <v>454</v>
      </c>
      <c r="B48" s="64"/>
      <c r="C48" s="64"/>
      <c r="D48" s="64"/>
      <c r="E48" s="64"/>
    </row>
    <row r="49" spans="1:21" ht="63.75" customHeight="1">
      <c r="A49" s="62" t="s">
        <v>447</v>
      </c>
      <c r="B49" s="62" t="s">
        <v>455</v>
      </c>
      <c r="C49" s="62" t="s">
        <v>456</v>
      </c>
      <c r="D49" s="62" t="s">
        <v>457</v>
      </c>
      <c r="E49" s="62" t="s">
        <v>458</v>
      </c>
    </row>
    <row r="50" spans="1:21">
      <c r="A50" s="49" t="s">
        <v>459</v>
      </c>
      <c r="B50" s="50">
        <v>-6536867</v>
      </c>
      <c r="C50" s="50">
        <v>-2458846</v>
      </c>
      <c r="D50" s="50">
        <v>2113161</v>
      </c>
      <c r="E50" s="45">
        <v>77815</v>
      </c>
    </row>
    <row r="51" spans="1:21">
      <c r="A51" s="49" t="s">
        <v>460</v>
      </c>
      <c r="B51" s="50">
        <v>-4962373</v>
      </c>
      <c r="C51" s="50">
        <v>-1045990</v>
      </c>
      <c r="D51" s="50">
        <v>3486002</v>
      </c>
      <c r="E51" s="45">
        <v>70480</v>
      </c>
    </row>
    <row r="52" spans="1:21">
      <c r="A52" s="49" t="s">
        <v>461</v>
      </c>
      <c r="B52" s="50">
        <v>-3511701</v>
      </c>
      <c r="C52" s="50">
        <v>351484</v>
      </c>
      <c r="D52" s="50">
        <v>4847482</v>
      </c>
      <c r="E52" s="45">
        <v>63145</v>
      </c>
    </row>
    <row r="53" spans="1:21" ht="30" customHeight="1">
      <c r="A53" s="62" t="s">
        <v>448</v>
      </c>
      <c r="B53" s="62" t="s">
        <v>455</v>
      </c>
      <c r="C53" s="62" t="s">
        <v>456</v>
      </c>
      <c r="D53" s="62" t="s">
        <v>457</v>
      </c>
      <c r="E53" s="62"/>
    </row>
    <row r="54" spans="1:21">
      <c r="A54" s="49" t="s">
        <v>459</v>
      </c>
      <c r="B54" s="47">
        <v>-1.47E-2</v>
      </c>
      <c r="C54" s="47">
        <v>4.0500000000000001E-2</v>
      </c>
      <c r="D54" s="47">
        <v>9.3700000000000006E-2</v>
      </c>
    </row>
    <row r="55" spans="1:21">
      <c r="A55" s="49" t="s">
        <v>460</v>
      </c>
      <c r="B55" s="47">
        <v>8.0000000000000004E-4</v>
      </c>
      <c r="C55" s="47">
        <v>5.6300000000000003E-2</v>
      </c>
      <c r="D55" s="47">
        <v>0.1125</v>
      </c>
    </row>
    <row r="56" spans="1:21">
      <c r="A56" s="49" t="s">
        <v>461</v>
      </c>
      <c r="B56" s="47">
        <v>1.5800000000000002E-2</v>
      </c>
      <c r="C56" s="47">
        <v>7.4999999999999997E-2</v>
      </c>
      <c r="D56" s="47">
        <v>0.13469999999999999</v>
      </c>
    </row>
    <row r="57" spans="1:21" ht="42" customHeight="1">
      <c r="A57" s="77" t="s">
        <v>462</v>
      </c>
      <c r="B57" s="77"/>
      <c r="C57" s="77"/>
      <c r="D57" s="77"/>
      <c r="E57" s="77"/>
    </row>
    <row r="60" spans="1:21" ht="15" customHeight="1">
      <c r="A60" s="64" t="s">
        <v>463</v>
      </c>
      <c r="B60" s="64"/>
      <c r="C60" s="64"/>
      <c r="D60" s="64"/>
      <c r="E60" s="64"/>
      <c r="F60" s="64"/>
      <c r="G60" s="64"/>
      <c r="H60" s="64"/>
      <c r="I60" s="64"/>
      <c r="J60" s="64"/>
      <c r="K60" s="64"/>
      <c r="L60" s="64"/>
      <c r="M60" s="64"/>
      <c r="N60" s="64"/>
      <c r="O60" s="64"/>
      <c r="P60" s="64"/>
      <c r="Q60" s="64"/>
      <c r="R60" s="64"/>
      <c r="S60" s="64"/>
      <c r="T60" s="64"/>
      <c r="U60" s="64"/>
    </row>
    <row r="61" spans="1:21" ht="45" customHeight="1">
      <c r="A61" s="62" t="s">
        <v>238</v>
      </c>
      <c r="B61" s="62" t="s">
        <v>464</v>
      </c>
      <c r="C61" s="62" t="s">
        <v>465</v>
      </c>
      <c r="D61" s="62" t="s">
        <v>466</v>
      </c>
      <c r="E61" s="62" t="s">
        <v>467</v>
      </c>
      <c r="F61" s="62" t="s">
        <v>468</v>
      </c>
      <c r="G61" s="62" t="s">
        <v>469</v>
      </c>
      <c r="H61" s="62" t="s">
        <v>470</v>
      </c>
      <c r="I61" s="62" t="s">
        <v>412</v>
      </c>
      <c r="J61" s="62" t="s">
        <v>286</v>
      </c>
      <c r="K61" s="62" t="s">
        <v>76</v>
      </c>
      <c r="L61" s="62" t="s">
        <v>471</v>
      </c>
      <c r="M61" s="62" t="s">
        <v>472</v>
      </c>
      <c r="N61" s="62" t="s">
        <v>330</v>
      </c>
      <c r="O61" s="62" t="s">
        <v>473</v>
      </c>
      <c r="P61" s="62" t="s">
        <v>325</v>
      </c>
      <c r="Q61" s="62" t="s">
        <v>328</v>
      </c>
      <c r="R61" s="62" t="s">
        <v>474</v>
      </c>
      <c r="S61" s="62" t="s">
        <v>317</v>
      </c>
      <c r="T61" s="62" t="s">
        <v>475</v>
      </c>
      <c r="U61" s="62" t="s">
        <v>476</v>
      </c>
    </row>
    <row r="62" spans="1:21" ht="15" customHeight="1">
      <c r="A62" s="60">
        <v>2026</v>
      </c>
      <c r="B62" s="20">
        <f>IF(AND(A62&gt;=$B$26,A62&lt;$B$26+$B$23),1,0)</f>
        <v>0</v>
      </c>
      <c r="C62" s="27">
        <f>(1+$B$27)^(A62-2026)</f>
        <v>1</v>
      </c>
      <c r="D62" s="51">
        <f>B62*$B$6*$B$12*C62</f>
        <v>0</v>
      </c>
      <c r="E62" s="51">
        <f>D62*$B$13</f>
        <v>0</v>
      </c>
      <c r="F62" s="51">
        <f>D62-E62</f>
        <v>0</v>
      </c>
      <c r="G62" s="51">
        <f>-D62*$B$19</f>
        <v>0</v>
      </c>
      <c r="H62" s="51">
        <f>-B62*($B$20*$B$6+$B$14*$B$7*$B$21+$B$14*$B$7*$B$15*$B$22)*C62</f>
        <v>0</v>
      </c>
      <c r="I62" s="51">
        <f>-B62*$B$18*$B$29*C62</f>
        <v>0</v>
      </c>
      <c r="J62" s="51">
        <f>D62+G62+H62+I62</f>
        <v>0</v>
      </c>
      <c r="K62" s="51">
        <f>-IF(A62=$B$26-1,$B$29*C62,0)</f>
        <v>0</v>
      </c>
      <c r="L62" s="51">
        <f>IF(B62=1,IF(A62=$B$26+$B$23-1,0-K62,(0-K62)*$B$24),0)</f>
        <v>0</v>
      </c>
      <c r="M62" s="51">
        <f>0-K62-L62</f>
        <v>0</v>
      </c>
      <c r="N62" s="51">
        <f>J62-L62</f>
        <v>0</v>
      </c>
      <c r="O62" s="51">
        <f>MAX(0,0-N62)</f>
        <v>0</v>
      </c>
      <c r="P62" s="51">
        <f>MAX(0,N62-0)</f>
        <v>0</v>
      </c>
      <c r="Q62" s="51">
        <f>-P62*$B$28</f>
        <v>0</v>
      </c>
      <c r="R62" s="51">
        <f>J62+K62+Q62</f>
        <v>0</v>
      </c>
      <c r="S62" s="27">
        <f>1/(1+$B$25)^(A62-2026)</f>
        <v>1</v>
      </c>
      <c r="T62" s="51">
        <f>R62</f>
        <v>0</v>
      </c>
      <c r="U62" s="51">
        <f>R62*S62</f>
        <v>0</v>
      </c>
    </row>
    <row r="63" spans="1:21" ht="15" customHeight="1">
      <c r="A63" s="60">
        <v>2027</v>
      </c>
      <c r="B63" s="20">
        <f>IF(AND(A63&gt;=$B$26,A63&lt;$B$26+$B$23),1,0)</f>
        <v>0</v>
      </c>
      <c r="C63" s="27">
        <f>(1+$B$27)^(A63-2026)</f>
        <v>1.02</v>
      </c>
      <c r="D63" s="51">
        <f>B63*$B$6*$B$12*C63</f>
        <v>0</v>
      </c>
      <c r="E63" s="51">
        <f>D63*$B$13</f>
        <v>0</v>
      </c>
      <c r="F63" s="51">
        <f>D63-E63</f>
        <v>0</v>
      </c>
      <c r="G63" s="51">
        <f>-D63*$B$19</f>
        <v>0</v>
      </c>
      <c r="H63" s="51">
        <f>-B63*($B$20*$B$6+$B$14*$B$7*$B$21+$B$14*$B$7*$B$15*$B$22)*C63</f>
        <v>0</v>
      </c>
      <c r="I63" s="51">
        <f>-B63*$B$18*$B$29*C63</f>
        <v>0</v>
      </c>
      <c r="J63" s="51">
        <f>D63+G63+H63+I63</f>
        <v>0</v>
      </c>
      <c r="K63" s="51">
        <f>-IF(A63=$B$26-1,$B$29*C63,0)</f>
        <v>-14637000</v>
      </c>
      <c r="L63" s="51">
        <f>IF(B63=1,IF(A63=$B$26+$B$23-1,M62-K63,(M62-K63)*$B$24),0)</f>
        <v>0</v>
      </c>
      <c r="M63" s="51">
        <f>M62-K63-L63</f>
        <v>14637000</v>
      </c>
      <c r="N63" s="51">
        <f>J63-L63</f>
        <v>0</v>
      </c>
      <c r="O63" s="51">
        <f>MAX(0,O62-N63)</f>
        <v>0</v>
      </c>
      <c r="P63" s="51">
        <f>MAX(0,N63-O62)</f>
        <v>0</v>
      </c>
      <c r="Q63" s="51">
        <f>-P63*$B$28</f>
        <v>0</v>
      </c>
      <c r="R63" s="51">
        <f>J63+K63+Q63</f>
        <v>-14637000</v>
      </c>
      <c r="S63" s="27">
        <f>1/(1+$B$25)^(A63-2026)</f>
        <v>0.93457943925233644</v>
      </c>
      <c r="T63" s="51">
        <f>T62+R63</f>
        <v>-14637000</v>
      </c>
      <c r="U63" s="51">
        <f>U62+R63*S63</f>
        <v>-13679439.252336448</v>
      </c>
    </row>
    <row r="64" spans="1:21" ht="15" customHeight="1">
      <c r="A64" s="60">
        <v>2028</v>
      </c>
      <c r="B64" s="20">
        <f>IF(AND(A64&gt;=$B$26,A64&lt;$B$26+$B$23),1,0)</f>
        <v>1</v>
      </c>
      <c r="C64" s="27">
        <f>(1+$B$27)^(A64-2026)</f>
        <v>1.0404</v>
      </c>
      <c r="D64" s="51">
        <f>B64*$B$6*$B$12*C64</f>
        <v>1690650</v>
      </c>
      <c r="E64" s="51">
        <f>D64*$B$13</f>
        <v>1352520</v>
      </c>
      <c r="F64" s="51">
        <f>D64-E64</f>
        <v>338130</v>
      </c>
      <c r="G64" s="51">
        <f>-D64*$B$19</f>
        <v>-135252</v>
      </c>
      <c r="H64" s="51">
        <f>-B64*($B$20*$B$6+$B$14*$B$7*$B$21+$B$14*$B$7*$B$15*$B$22)*C64</f>
        <v>-106809.60982499999</v>
      </c>
      <c r="I64" s="51">
        <f>-B64*$B$18*$B$29*C64</f>
        <v>-223946.1</v>
      </c>
      <c r="J64" s="51">
        <f>D64+G64+H64+I64</f>
        <v>1224642.290175</v>
      </c>
      <c r="K64" s="51">
        <f>-IF(A64=$B$26-1,$B$29*C64,0)</f>
        <v>0</v>
      </c>
      <c r="L64" s="51">
        <f>IF(B64=1,IF(A64=$B$26+$B$23-1,M63-K64,(M63-K64)*$B$24),0)</f>
        <v>3659250</v>
      </c>
      <c r="M64" s="51">
        <f>M63-K64-L64</f>
        <v>10977750</v>
      </c>
      <c r="N64" s="51">
        <f>J64-L64</f>
        <v>-2434607.7098249998</v>
      </c>
      <c r="O64" s="51">
        <f>MAX(0,O63-N64)</f>
        <v>2434607.7098249998</v>
      </c>
      <c r="P64" s="51">
        <f>MAX(0,N64-O63)</f>
        <v>0</v>
      </c>
      <c r="Q64" s="51">
        <f>-P64*$B$28</f>
        <v>0</v>
      </c>
      <c r="R64" s="51">
        <f>J64+K64+Q64</f>
        <v>1224642.290175</v>
      </c>
      <c r="S64" s="27">
        <f>1/(1+$B$25)^(A64-2026)</f>
        <v>0.87343872827321156</v>
      </c>
      <c r="T64" s="51">
        <f>T63+R64</f>
        <v>-13412357.709825</v>
      </c>
      <c r="U64" s="51">
        <f>U63+R64*S64</f>
        <v>-12609789.247816402</v>
      </c>
    </row>
    <row r="65" spans="1:21" ht="15" customHeight="1">
      <c r="A65" s="60">
        <v>2029</v>
      </c>
      <c r="B65" s="20">
        <f>IF(AND(A65&gt;=$B$26,A65&lt;$B$26+$B$23),1,0)</f>
        <v>1</v>
      </c>
      <c r="C65" s="27">
        <f>(1+$B$27)^(A65-2026)</f>
        <v>1.0612079999999999</v>
      </c>
      <c r="D65" s="51">
        <f>B65*$B$6*$B$12*C65</f>
        <v>1724463</v>
      </c>
      <c r="E65" s="51">
        <f>D65*$B$13</f>
        <v>1379570.4000000001</v>
      </c>
      <c r="F65" s="51">
        <f>D65-E65</f>
        <v>344892.59999999986</v>
      </c>
      <c r="G65" s="51">
        <f>-D65*$B$19</f>
        <v>-137957.04</v>
      </c>
      <c r="H65" s="51">
        <f>-B65*($B$20*$B$6+$B$14*$B$7*$B$21+$B$14*$B$7*$B$15*$B$22)*C65</f>
        <v>-108945.8020215</v>
      </c>
      <c r="I65" s="51">
        <f>-B65*$B$18*$B$29*C65</f>
        <v>-228425.022</v>
      </c>
      <c r="J65" s="51">
        <f>D65+G65+H65+I65</f>
        <v>1249135.1359784999</v>
      </c>
      <c r="K65" s="51">
        <f>-IF(A65=$B$26-1,$B$29*C65,0)</f>
        <v>0</v>
      </c>
      <c r="L65" s="51">
        <f>IF(B65=1,IF(A65=$B$26+$B$23-1,M64-K65,(M64-K65)*$B$24),0)</f>
        <v>2744437.5</v>
      </c>
      <c r="M65" s="51">
        <f>M64-K65-L65</f>
        <v>8233312.5</v>
      </c>
      <c r="N65" s="51">
        <f>J65-L65</f>
        <v>-1495302.3640215001</v>
      </c>
      <c r="O65" s="51">
        <f>MAX(0,O64-N65)</f>
        <v>3929910.0738464999</v>
      </c>
      <c r="P65" s="51">
        <f>MAX(0,N65-O64)</f>
        <v>0</v>
      </c>
      <c r="Q65" s="51">
        <f>-P65*$B$28</f>
        <v>0</v>
      </c>
      <c r="R65" s="51">
        <f>J65+K65+Q65</f>
        <v>1249135.1359784999</v>
      </c>
      <c r="S65" s="27">
        <f>1/(1+$B$25)^(A65-2026)</f>
        <v>0.81629787689085187</v>
      </c>
      <c r="T65" s="51">
        <f>T64+R65</f>
        <v>-12163222.5738465</v>
      </c>
      <c r="U65" s="51">
        <f>U64+R65*S65</f>
        <v>-11590122.888367388</v>
      </c>
    </row>
    <row r="66" spans="1:21" ht="15" customHeight="1">
      <c r="A66" s="60">
        <v>2030</v>
      </c>
      <c r="B66" s="20">
        <f>IF(AND(A66&gt;=$B$26,A66&lt;$B$26+$B$23),1,0)</f>
        <v>1</v>
      </c>
      <c r="C66" s="27">
        <f>(1+$B$27)^(A66-2026)</f>
        <v>1.08243216</v>
      </c>
      <c r="D66" s="51">
        <f>B66*$B$6*$B$12*C66</f>
        <v>1758952.26</v>
      </c>
      <c r="E66" s="51">
        <f>D66*$B$13</f>
        <v>1407161.8080000002</v>
      </c>
      <c r="F66" s="51">
        <f>D66-E66</f>
        <v>351790.45199999982</v>
      </c>
      <c r="G66" s="51">
        <f>-D66*$B$19</f>
        <v>-140716.1808</v>
      </c>
      <c r="H66" s="51">
        <f>-B66*($B$20*$B$6+$B$14*$B$7*$B$21+$B$14*$B$7*$B$15*$B$22)*C66</f>
        <v>-111124.71806192999</v>
      </c>
      <c r="I66" s="51">
        <f>-B66*$B$18*$B$29*C66</f>
        <v>-232993.52244</v>
      </c>
      <c r="J66" s="51">
        <f>D66+G66+H66+I66</f>
        <v>1274117.83869807</v>
      </c>
      <c r="K66" s="51">
        <f>-IF(A66=$B$26-1,$B$29*C66,0)</f>
        <v>0</v>
      </c>
      <c r="L66" s="51">
        <f>IF(B66=1,IF(A66=$B$26+$B$23-1,M65-K66,(M65-K66)*$B$24),0)</f>
        <v>2058328.125</v>
      </c>
      <c r="M66" s="51">
        <f>M65-K66-L66</f>
        <v>6174984.375</v>
      </c>
      <c r="N66" s="51">
        <f>J66-L66</f>
        <v>-784210.28630192997</v>
      </c>
      <c r="O66" s="51">
        <f>MAX(0,O65-N66)</f>
        <v>4714120.3601484299</v>
      </c>
      <c r="P66" s="51">
        <f>MAX(0,N66-O65)</f>
        <v>0</v>
      </c>
      <c r="Q66" s="51">
        <f>-P66*$B$28</f>
        <v>0</v>
      </c>
      <c r="R66" s="51">
        <f>J66+K66+Q66</f>
        <v>1274117.83869807</v>
      </c>
      <c r="S66" s="27">
        <f>1/(1+$B$25)^(A66-2026)</f>
        <v>0.7628952120475252</v>
      </c>
      <c r="T66" s="51">
        <f>T65+R66</f>
        <v>-10889104.73514843</v>
      </c>
      <c r="U66" s="51">
        <f>U65+R66*S66</f>
        <v>-10618104.48964029</v>
      </c>
    </row>
    <row r="67" spans="1:21" ht="15" customHeight="1">
      <c r="A67" s="60">
        <v>2031</v>
      </c>
      <c r="B67" s="20">
        <f>IF(AND(A67&gt;=$B$26,A67&lt;$B$26+$B$23),1,0)</f>
        <v>1</v>
      </c>
      <c r="C67" s="27">
        <f>(1+$B$27)^(A67-2026)</f>
        <v>1.1040808032</v>
      </c>
      <c r="D67" s="51">
        <f>B67*$B$6*$B$12*C67</f>
        <v>1794131.3052000001</v>
      </c>
      <c r="E67" s="51">
        <f>D67*$B$13</f>
        <v>1435305.04416</v>
      </c>
      <c r="F67" s="51">
        <f>D67-E67</f>
        <v>358826.26104000001</v>
      </c>
      <c r="G67" s="51">
        <f>-D67*$B$19</f>
        <v>-143530.50441600001</v>
      </c>
      <c r="H67" s="51">
        <f>-B67*($B$20*$B$6+$B$14*$B$7*$B$21+$B$14*$B$7*$B$15*$B$22)*C67</f>
        <v>-113347.2124231686</v>
      </c>
      <c r="I67" s="51">
        <f>-B67*$B$18*$B$29*C67</f>
        <v>-237653.39288880001</v>
      </c>
      <c r="J67" s="51">
        <f>D67+G67+H67+I67</f>
        <v>1299600.1954720314</v>
      </c>
      <c r="K67" s="51">
        <f>-IF(A67=$B$26-1,$B$29*C67,0)</f>
        <v>0</v>
      </c>
      <c r="L67" s="51">
        <f>IF(B67=1,IF(A67=$B$26+$B$23-1,M66-K67,(M66-K67)*$B$24),0)</f>
        <v>1543746.09375</v>
      </c>
      <c r="M67" s="51">
        <f>M66-K67-L67</f>
        <v>4631238.28125</v>
      </c>
      <c r="N67" s="51">
        <f>J67-L67</f>
        <v>-244145.89827796863</v>
      </c>
      <c r="O67" s="51">
        <f>MAX(0,O66-N67)</f>
        <v>4958266.258426398</v>
      </c>
      <c r="P67" s="51">
        <f>MAX(0,N67-O66)</f>
        <v>0</v>
      </c>
      <c r="Q67" s="51">
        <f>-P67*$B$28</f>
        <v>0</v>
      </c>
      <c r="R67" s="51">
        <f>J67+K67+Q67</f>
        <v>1299600.1954720314</v>
      </c>
      <c r="S67" s="27">
        <f>1/(1+$B$25)^(A67-2026)</f>
        <v>0.71298617948366838</v>
      </c>
      <c r="T67" s="51">
        <f>T66+R67</f>
        <v>-9589504.539676398</v>
      </c>
      <c r="U67" s="51">
        <f>U66+R67*S67</f>
        <v>-9691507.5114144571</v>
      </c>
    </row>
    <row r="68" spans="1:21" ht="15" customHeight="1">
      <c r="A68" s="60">
        <v>2032</v>
      </c>
      <c r="B68" s="20">
        <f>IF(AND(A68&gt;=$B$26,A68&lt;$B$26+$B$23),1,0)</f>
        <v>1</v>
      </c>
      <c r="C68" s="27">
        <f>(1+$B$27)^(A68-2026)</f>
        <v>1.1261624192640001</v>
      </c>
      <c r="D68" s="51">
        <f>B68*$B$6*$B$12*C68</f>
        <v>1830013.9313040001</v>
      </c>
      <c r="E68" s="51">
        <f>D68*$B$13</f>
        <v>1464011.1450432001</v>
      </c>
      <c r="F68" s="51">
        <f>D68-E68</f>
        <v>366002.78626079997</v>
      </c>
      <c r="G68" s="51">
        <f>-D68*$B$19</f>
        <v>-146401.11450432002</v>
      </c>
      <c r="H68" s="51">
        <f>-B68*($B$20*$B$6+$B$14*$B$7*$B$21+$B$14*$B$7*$B$15*$B$22)*C68</f>
        <v>-115614.15667163198</v>
      </c>
      <c r="I68" s="51">
        <f>-B68*$B$18*$B$29*C68</f>
        <v>-242406.46074657602</v>
      </c>
      <c r="J68" s="51">
        <f>D68+G68+H68+I68</f>
        <v>1325592.1993814718</v>
      </c>
      <c r="K68" s="51">
        <f>-IF(A68=$B$26-1,$B$29*C68,0)</f>
        <v>0</v>
      </c>
      <c r="L68" s="51">
        <f>IF(B68=1,IF(A68=$B$26+$B$23-1,M67-K68,(M67-K68)*$B$24),0)</f>
        <v>1157809.5703125</v>
      </c>
      <c r="M68" s="51">
        <f>M67-K68-L68</f>
        <v>3473428.7109375</v>
      </c>
      <c r="N68" s="51">
        <f>J68-L68</f>
        <v>167782.62906897184</v>
      </c>
      <c r="O68" s="51">
        <f>MAX(0,O67-N68)</f>
        <v>4790483.6293574264</v>
      </c>
      <c r="P68" s="51">
        <f>MAX(0,N68-O67)</f>
        <v>0</v>
      </c>
      <c r="Q68" s="51">
        <f>-P68*$B$28</f>
        <v>0</v>
      </c>
      <c r="R68" s="51">
        <f>J68+K68+Q68</f>
        <v>1325592.1993814718</v>
      </c>
      <c r="S68" s="27">
        <f>1/(1+$B$25)^(A68-2026)</f>
        <v>0.66634222381651254</v>
      </c>
      <c r="T68" s="51">
        <f>T67+R68</f>
        <v>-8263912.3402949264</v>
      </c>
      <c r="U68" s="51">
        <f>U67+R68*S68</f>
        <v>-8808209.4574047849</v>
      </c>
    </row>
    <row r="69" spans="1:21" ht="15" customHeight="1">
      <c r="A69" s="60">
        <v>2033</v>
      </c>
      <c r="B69" s="20">
        <f>IF(AND(A69&gt;=$B$26,A69&lt;$B$26+$B$23),1,0)</f>
        <v>1</v>
      </c>
      <c r="C69" s="27">
        <f>(1+$B$27)^(A69-2026)</f>
        <v>1.1486856676492798</v>
      </c>
      <c r="D69" s="51">
        <f>B69*$B$6*$B$12*C69</f>
        <v>1866614.2099300798</v>
      </c>
      <c r="E69" s="51">
        <f>D69*$B$13</f>
        <v>1493291.3679440639</v>
      </c>
      <c r="F69" s="51">
        <f>D69-E69</f>
        <v>373322.8419860159</v>
      </c>
      <c r="G69" s="51">
        <f>-D69*$B$19</f>
        <v>-149329.1367944064</v>
      </c>
      <c r="H69" s="51">
        <f>-B69*($B$20*$B$6+$B$14*$B$7*$B$21+$B$14*$B$7*$B$15*$B$22)*C69</f>
        <v>-117926.4398050646</v>
      </c>
      <c r="I69" s="51">
        <f>-B69*$B$18*$B$29*C69</f>
        <v>-247254.58996150747</v>
      </c>
      <c r="J69" s="51">
        <f>D69+G69+H69+I69</f>
        <v>1352104.0433691014</v>
      </c>
      <c r="K69" s="51">
        <f>-IF(A69=$B$26-1,$B$29*C69,0)</f>
        <v>0</v>
      </c>
      <c r="L69" s="51">
        <f>IF(B69=1,IF(A69=$B$26+$B$23-1,M68-K69,(M68-K69)*$B$24),0)</f>
        <v>868357.177734375</v>
      </c>
      <c r="M69" s="51">
        <f>M68-K69-L69</f>
        <v>2605071.533203125</v>
      </c>
      <c r="N69" s="51">
        <f>J69-L69</f>
        <v>483746.86563472636</v>
      </c>
      <c r="O69" s="51">
        <f>MAX(0,O68-N69)</f>
        <v>4306736.7637227001</v>
      </c>
      <c r="P69" s="51">
        <f>MAX(0,N69-O68)</f>
        <v>0</v>
      </c>
      <c r="Q69" s="51">
        <f>-P69*$B$28</f>
        <v>0</v>
      </c>
      <c r="R69" s="51">
        <f>J69+K69+Q69</f>
        <v>1352104.0433691014</v>
      </c>
      <c r="S69" s="27">
        <f>1/(1+$B$25)^(A69-2026)</f>
        <v>0.62274974188459109</v>
      </c>
      <c r="T69" s="51">
        <f>T68+R69</f>
        <v>-6911808.2969258251</v>
      </c>
      <c r="U69" s="51">
        <f>U68+R69*S69</f>
        <v>-7966187.0133955646</v>
      </c>
    </row>
    <row r="70" spans="1:21" ht="15" customHeight="1">
      <c r="A70" s="60">
        <v>2034</v>
      </c>
      <c r="B70" s="20">
        <f>IF(AND(A70&gt;=$B$26,A70&lt;$B$26+$B$23),1,0)</f>
        <v>1</v>
      </c>
      <c r="C70" s="27">
        <f>(1+$B$27)^(A70-2026)</f>
        <v>1.1716593810022655</v>
      </c>
      <c r="D70" s="51">
        <f>B70*$B$6*$B$12*C70</f>
        <v>1903946.4941286815</v>
      </c>
      <c r="E70" s="51">
        <f>D70*$B$13</f>
        <v>1523157.1953029453</v>
      </c>
      <c r="F70" s="51">
        <f>D70-E70</f>
        <v>380789.29882573616</v>
      </c>
      <c r="G70" s="51">
        <f>-D70*$B$19</f>
        <v>-152315.71953029453</v>
      </c>
      <c r="H70" s="51">
        <f>-B70*($B$20*$B$6+$B$14*$B$7*$B$21+$B$14*$B$7*$B$15*$B$22)*C70</f>
        <v>-120284.96860116589</v>
      </c>
      <c r="I70" s="51">
        <f>-B70*$B$18*$B$29*C70</f>
        <v>-252199.68176073764</v>
      </c>
      <c r="J70" s="51">
        <f>D70+G70+H70+I70</f>
        <v>1379146.1242364836</v>
      </c>
      <c r="K70" s="51">
        <f>-IF(A70=$B$26-1,$B$29*C70,0)</f>
        <v>0</v>
      </c>
      <c r="L70" s="51">
        <f>IF(B70=1,IF(A70=$B$26+$B$23-1,M69-K70,(M69-K70)*$B$24),0)</f>
        <v>651267.88330078125</v>
      </c>
      <c r="M70" s="51">
        <f>M69-K70-L70</f>
        <v>1953803.6499023438</v>
      </c>
      <c r="N70" s="51">
        <f>J70-L70</f>
        <v>727878.24093570234</v>
      </c>
      <c r="O70" s="51">
        <f>MAX(0,O69-N70)</f>
        <v>3578858.5227869977</v>
      </c>
      <c r="P70" s="51">
        <f>MAX(0,N70-O69)</f>
        <v>0</v>
      </c>
      <c r="Q70" s="51">
        <f>-P70*$B$28</f>
        <v>0</v>
      </c>
      <c r="R70" s="51">
        <f>J70+K70+Q70</f>
        <v>1379146.1242364836</v>
      </c>
      <c r="S70" s="27">
        <f>1/(1+$B$25)^(A70-2026)</f>
        <v>0.5820091045650384</v>
      </c>
      <c r="T70" s="51">
        <f>T69+R70</f>
        <v>-5532662.172689341</v>
      </c>
      <c r="U70" s="51">
        <f>U69+R70*S70</f>
        <v>-7163511.4125643456</v>
      </c>
    </row>
    <row r="71" spans="1:21" ht="15" customHeight="1">
      <c r="A71" s="60">
        <v>2035</v>
      </c>
      <c r="B71" s="20">
        <f>IF(AND(A71&gt;=$B$26,A71&lt;$B$26+$B$23),1,0)</f>
        <v>1</v>
      </c>
      <c r="C71" s="27">
        <f>(1+$B$27)^(A71-2026)</f>
        <v>1.1950925686223108</v>
      </c>
      <c r="D71" s="51">
        <f>B71*$B$6*$B$12*C71</f>
        <v>1942025.4240112551</v>
      </c>
      <c r="E71" s="51">
        <f>D71*$B$13</f>
        <v>1553620.3392090043</v>
      </c>
      <c r="F71" s="51">
        <f>D71-E71</f>
        <v>388405.08480225084</v>
      </c>
      <c r="G71" s="51">
        <f>-D71*$B$19</f>
        <v>-155362.0339209004</v>
      </c>
      <c r="H71" s="51">
        <f>-B71*($B$20*$B$6+$B$14*$B$7*$B$21+$B$14*$B$7*$B$15*$B$22)*C71</f>
        <v>-122690.66797318921</v>
      </c>
      <c r="I71" s="51">
        <f>-B71*$B$18*$B$29*C71</f>
        <v>-257243.67539595242</v>
      </c>
      <c r="J71" s="51">
        <f>D71+G71+H71+I71</f>
        <v>1406729.046721213</v>
      </c>
      <c r="K71" s="51">
        <f>-IF(A71=$B$26-1,$B$29*C71,0)</f>
        <v>0</v>
      </c>
      <c r="L71" s="51">
        <f>IF(B71=1,IF(A71=$B$26+$B$23-1,M70-K71,(M70-K71)*$B$24),0)</f>
        <v>488450.91247558594</v>
      </c>
      <c r="M71" s="51">
        <f>M70-K71-L71</f>
        <v>1465352.7374267578</v>
      </c>
      <c r="N71" s="51">
        <f>J71-L71</f>
        <v>918278.13424562709</v>
      </c>
      <c r="O71" s="51">
        <f>MAX(0,O70-N71)</f>
        <v>2660580.3885413706</v>
      </c>
      <c r="P71" s="51">
        <f>MAX(0,N71-O70)</f>
        <v>0</v>
      </c>
      <c r="Q71" s="51">
        <f>-P71*$B$28</f>
        <v>0</v>
      </c>
      <c r="R71" s="51">
        <f>J71+K71+Q71</f>
        <v>1406729.046721213</v>
      </c>
      <c r="S71" s="27">
        <f>1/(1+$B$25)^(A71-2026)</f>
        <v>0.54393374258414806</v>
      </c>
      <c r="T71" s="51">
        <f>T70+R71</f>
        <v>-4125933.125968128</v>
      </c>
      <c r="U71" s="51">
        <f>U70+R71*S71</f>
        <v>-6398344.017379445</v>
      </c>
    </row>
    <row r="72" spans="1:21" ht="15" customHeight="1">
      <c r="A72" s="60">
        <v>2036</v>
      </c>
      <c r="B72" s="20">
        <f>IF(AND(A72&gt;=$B$26,A72&lt;$B$26+$B$23),1,0)</f>
        <v>1</v>
      </c>
      <c r="C72" s="27">
        <f>(1+$B$27)^(A72-2026)</f>
        <v>1.2189944199947571</v>
      </c>
      <c r="D72" s="51">
        <f>B72*$B$6*$B$12*C72</f>
        <v>1980865.9324914804</v>
      </c>
      <c r="E72" s="51">
        <f>D72*$B$13</f>
        <v>1584692.7459931844</v>
      </c>
      <c r="F72" s="51">
        <f>D72-E72</f>
        <v>396173.18649829598</v>
      </c>
      <c r="G72" s="51">
        <f>-D72*$B$19</f>
        <v>-158469.27459931842</v>
      </c>
      <c r="H72" s="51">
        <f>-B72*($B$20*$B$6+$B$14*$B$7*$B$21+$B$14*$B$7*$B$15*$B$22)*C72</f>
        <v>-125144.481332653</v>
      </c>
      <c r="I72" s="51">
        <f>-B72*$B$18*$B$29*C72</f>
        <v>-262388.54890387144</v>
      </c>
      <c r="J72" s="51">
        <f>D72+G72+H72+I72</f>
        <v>1434863.6276556375</v>
      </c>
      <c r="K72" s="51">
        <f>-IF(A72=$B$26-1,$B$29*C72,0)</f>
        <v>0</v>
      </c>
      <c r="L72" s="51">
        <f>IF(B72=1,IF(A72=$B$26+$B$23-1,M71-K72,(M71-K72)*$B$24),0)</f>
        <v>366338.18435668945</v>
      </c>
      <c r="M72" s="51">
        <f>M71-K72-L72</f>
        <v>1099014.5530700684</v>
      </c>
      <c r="N72" s="51">
        <f>J72-L72</f>
        <v>1068525.443298948</v>
      </c>
      <c r="O72" s="51">
        <f>MAX(0,O71-N72)</f>
        <v>1592054.9452424226</v>
      </c>
      <c r="P72" s="51">
        <f>MAX(0,N72-O71)</f>
        <v>0</v>
      </c>
      <c r="Q72" s="51">
        <f>-P72*$B$28</f>
        <v>0</v>
      </c>
      <c r="R72" s="51">
        <f>J72+K72+Q72</f>
        <v>1434863.6276556375</v>
      </c>
      <c r="S72" s="27">
        <f>1/(1+$B$25)^(A72-2026)</f>
        <v>0.5083492921347178</v>
      </c>
      <c r="T72" s="51">
        <f>T71+R72</f>
        <v>-2691069.4983124905</v>
      </c>
      <c r="U72" s="51">
        <f>U71+R72*S72</f>
        <v>-5668932.1079508485</v>
      </c>
    </row>
    <row r="73" spans="1:21" ht="15" customHeight="1">
      <c r="A73" s="60">
        <v>2037</v>
      </c>
      <c r="B73" s="20">
        <f>IF(AND(A73&gt;=$B$26,A73&lt;$B$26+$B$23),1,0)</f>
        <v>1</v>
      </c>
      <c r="C73" s="27">
        <f>(1+$B$27)^(A73-2026)</f>
        <v>1.243374308394652</v>
      </c>
      <c r="D73" s="51">
        <f>B73*$B$6*$B$12*C73</f>
        <v>2020483.2511413095</v>
      </c>
      <c r="E73" s="51">
        <f>D73*$B$13</f>
        <v>1616386.6009130478</v>
      </c>
      <c r="F73" s="51">
        <f>D73-E73</f>
        <v>404096.65022826171</v>
      </c>
      <c r="G73" s="51">
        <f>-D73*$B$19</f>
        <v>-161638.66009130477</v>
      </c>
      <c r="H73" s="51">
        <f>-B73*($B$20*$B$6+$B$14*$B$7*$B$21+$B$14*$B$7*$B$15*$B$22)*C73</f>
        <v>-127647.37095930603</v>
      </c>
      <c r="I73" s="51">
        <f>-B73*$B$18*$B$29*C73</f>
        <v>-267636.31988194888</v>
      </c>
      <c r="J73" s="51">
        <f>D73+G73+H73+I73</f>
        <v>1463560.9002087498</v>
      </c>
      <c r="K73" s="51">
        <f>-IF(A73=$B$26-1,$B$29*C73,0)</f>
        <v>0</v>
      </c>
      <c r="L73" s="51">
        <f>IF(B73=1,IF(A73=$B$26+$B$23-1,M72-K73,(M72-K73)*$B$24),0)</f>
        <v>274753.63826751709</v>
      </c>
      <c r="M73" s="51">
        <f>M72-K73-L73</f>
        <v>824260.91480255127</v>
      </c>
      <c r="N73" s="51">
        <f>J73-L73</f>
        <v>1188807.2619412327</v>
      </c>
      <c r="O73" s="51">
        <f>MAX(0,O72-N73)</f>
        <v>403247.68330118991</v>
      </c>
      <c r="P73" s="51">
        <f>MAX(0,N73-O72)</f>
        <v>0</v>
      </c>
      <c r="Q73" s="51">
        <f>-P73*$B$28</f>
        <v>0</v>
      </c>
      <c r="R73" s="51">
        <f>J73+K73+Q73</f>
        <v>1463560.9002087498</v>
      </c>
      <c r="S73" s="27">
        <f>1/(1+$B$25)^(A73-2026)</f>
        <v>0.47509279638758667</v>
      </c>
      <c r="T73" s="51">
        <f>T72+R73</f>
        <v>-1227508.5981037407</v>
      </c>
      <c r="U73" s="51">
        <f>U72+R73*S73</f>
        <v>-4973604.8671871396</v>
      </c>
    </row>
    <row r="74" spans="1:21" ht="15" customHeight="1">
      <c r="A74" s="60">
        <v>2038</v>
      </c>
      <c r="B74" s="20">
        <f>IF(AND(A74&gt;=$B$26,A74&lt;$B$26+$B$23),1,0)</f>
        <v>1</v>
      </c>
      <c r="C74" s="27">
        <f>(1+$B$27)^(A74-2026)</f>
        <v>1.2682417945625453</v>
      </c>
      <c r="D74" s="51">
        <f>B74*$B$6*$B$12*C74</f>
        <v>2060892.916164136</v>
      </c>
      <c r="E74" s="51">
        <f>D74*$B$13</f>
        <v>1648714.332931309</v>
      </c>
      <c r="F74" s="51">
        <f>D74-E74</f>
        <v>412178.58323282702</v>
      </c>
      <c r="G74" s="51">
        <f>-D74*$B$19</f>
        <v>-164871.43329313089</v>
      </c>
      <c r="H74" s="51">
        <f>-B74*($B$20*$B$6+$B$14*$B$7*$B$21+$B$14*$B$7*$B$15*$B$22)*C74</f>
        <v>-130200.31837849219</v>
      </c>
      <c r="I74" s="51">
        <f>-B74*$B$18*$B$29*C74</f>
        <v>-272989.04627958784</v>
      </c>
      <c r="J74" s="51">
        <f>D74+G74+H74+I74</f>
        <v>1492832.118212925</v>
      </c>
      <c r="K74" s="51">
        <f>-IF(A74=$B$26-1,$B$29*C74,0)</f>
        <v>0</v>
      </c>
      <c r="L74" s="51">
        <f>IF(B74=1,IF(A74=$B$26+$B$23-1,M73-K74,(M73-K74)*$B$24),0)</f>
        <v>206065.22870063782</v>
      </c>
      <c r="M74" s="51">
        <f>M73-K74-L74</f>
        <v>618195.68610191345</v>
      </c>
      <c r="N74" s="51">
        <f>J74-L74</f>
        <v>1286766.8895122872</v>
      </c>
      <c r="O74" s="51">
        <f>MAX(0,O73-N74)</f>
        <v>0</v>
      </c>
      <c r="P74" s="51">
        <f>MAX(0,N74-O73)</f>
        <v>883519.20621109731</v>
      </c>
      <c r="Q74" s="51">
        <f>-P74*$B$28</f>
        <v>-176703.84124221947</v>
      </c>
      <c r="R74" s="51">
        <f>J74+K74+Q74</f>
        <v>1316128.2769707055</v>
      </c>
      <c r="S74" s="27">
        <f>1/(1+$B$25)^(A74-2026)</f>
        <v>0.44401195924073528</v>
      </c>
      <c r="T74" s="51">
        <f>T73+R74</f>
        <v>88619.678866964765</v>
      </c>
      <c r="U74" s="51">
        <f>U73+R74*S74</f>
        <v>-4389228.1723172432</v>
      </c>
    </row>
    <row r="75" spans="1:21" ht="15" customHeight="1">
      <c r="A75" s="60">
        <v>2039</v>
      </c>
      <c r="B75" s="20">
        <f>IF(AND(A75&gt;=$B$26,A75&lt;$B$26+$B$23),1,0)</f>
        <v>1</v>
      </c>
      <c r="C75" s="27">
        <f>(1+$B$27)^(A75-2026)</f>
        <v>1.2936066304537961</v>
      </c>
      <c r="D75" s="51">
        <f>B75*$B$6*$B$12*C75</f>
        <v>2102110.7744874186</v>
      </c>
      <c r="E75" s="51">
        <f>D75*$B$13</f>
        <v>1681688.6195899351</v>
      </c>
      <c r="F75" s="51">
        <f>D75-E75</f>
        <v>420422.15489748353</v>
      </c>
      <c r="G75" s="51">
        <f>-D75*$B$19</f>
        <v>-168168.86195899348</v>
      </c>
      <c r="H75" s="51">
        <f>-B75*($B$20*$B$6+$B$14*$B$7*$B$21+$B$14*$B$7*$B$15*$B$22)*C75</f>
        <v>-132804.32474606202</v>
      </c>
      <c r="I75" s="51">
        <f>-B75*$B$18*$B$29*C75</f>
        <v>-278448.82720517961</v>
      </c>
      <c r="J75" s="51">
        <f>D75+G75+H75+I75</f>
        <v>1522688.7605771832</v>
      </c>
      <c r="K75" s="51">
        <f>-IF(A75=$B$26-1,$B$29*C75,0)</f>
        <v>0</v>
      </c>
      <c r="L75" s="51">
        <f>IF(B75=1,IF(A75=$B$26+$B$23-1,M74-K75,(M74-K75)*$B$24),0)</f>
        <v>154548.92152547836</v>
      </c>
      <c r="M75" s="51">
        <f>M74-K75-L75</f>
        <v>463646.76457643509</v>
      </c>
      <c r="N75" s="51">
        <f>J75-L75</f>
        <v>1368139.8390517049</v>
      </c>
      <c r="O75" s="51">
        <f>MAX(0,O74-N75)</f>
        <v>0</v>
      </c>
      <c r="P75" s="51">
        <f>MAX(0,N75-O74)</f>
        <v>1368139.8390517049</v>
      </c>
      <c r="Q75" s="51">
        <f>-P75*$B$28</f>
        <v>-273627.96781034098</v>
      </c>
      <c r="R75" s="51">
        <f>J75+K75+Q75</f>
        <v>1249060.7927668423</v>
      </c>
      <c r="S75" s="27">
        <f>1/(1+$B$25)^(A75-2026)</f>
        <v>0.41496444788853759</v>
      </c>
      <c r="T75" s="51">
        <f>T74+R75</f>
        <v>1337680.4716338071</v>
      </c>
      <c r="U75" s="51">
        <f>U74+R75*S75</f>
        <v>-3870912.3500675312</v>
      </c>
    </row>
    <row r="76" spans="1:21" ht="15" customHeight="1">
      <c r="A76" s="60">
        <v>2040</v>
      </c>
      <c r="B76" s="20">
        <f>IF(AND(A76&gt;=$B$26,A76&lt;$B$26+$B$23),1,0)</f>
        <v>1</v>
      </c>
      <c r="C76" s="27">
        <f>(1+$B$27)^(A76-2026)</f>
        <v>1.3194787630628722</v>
      </c>
      <c r="D76" s="51">
        <f>B76*$B$6*$B$12*C76</f>
        <v>2144152.9899771675</v>
      </c>
      <c r="E76" s="51">
        <f>D76*$B$13</f>
        <v>1715322.391981734</v>
      </c>
      <c r="F76" s="51">
        <f>D76-E76</f>
        <v>428830.59799543349</v>
      </c>
      <c r="G76" s="51">
        <f>-D76*$B$19</f>
        <v>-171532.2391981734</v>
      </c>
      <c r="H76" s="51">
        <f>-B76*($B$20*$B$6+$B$14*$B$7*$B$21+$B$14*$B$7*$B$15*$B$22)*C76</f>
        <v>-135460.41124098326</v>
      </c>
      <c r="I76" s="51">
        <f>-B76*$B$18*$B$29*C76</f>
        <v>-284017.80374928325</v>
      </c>
      <c r="J76" s="51">
        <f>D76+G76+H76+I76</f>
        <v>1553142.5357887275</v>
      </c>
      <c r="K76" s="51">
        <f>-IF(A76=$B$26-1,$B$29*C76,0)</f>
        <v>0</v>
      </c>
      <c r="L76" s="51">
        <f>IF(B76=1,IF(A76=$B$26+$B$23-1,M75-K76,(M75-K76)*$B$24),0)</f>
        <v>115911.69114410877</v>
      </c>
      <c r="M76" s="51">
        <f>M75-K76-L76</f>
        <v>347735.07343232632</v>
      </c>
      <c r="N76" s="51">
        <f>J76-L76</f>
        <v>1437230.8446446187</v>
      </c>
      <c r="O76" s="51">
        <f>MAX(0,O75-N76)</f>
        <v>0</v>
      </c>
      <c r="P76" s="51">
        <f>MAX(0,N76-O75)</f>
        <v>1437230.8446446187</v>
      </c>
      <c r="Q76" s="51">
        <f>-P76*$B$28</f>
        <v>-287446.16892892373</v>
      </c>
      <c r="R76" s="51">
        <f>J76+K76+Q76</f>
        <v>1265696.3668598037</v>
      </c>
      <c r="S76" s="27">
        <f>1/(1+$B$25)^(A76-2026)</f>
        <v>0.3878172410173249</v>
      </c>
      <c r="T76" s="51">
        <f>T75+R76</f>
        <v>2603376.8384936107</v>
      </c>
      <c r="U76" s="51">
        <f>U75+R76*S76</f>
        <v>-3380053.4771063104</v>
      </c>
    </row>
    <row r="77" spans="1:21" ht="15" customHeight="1">
      <c r="A77" s="60">
        <v>2041</v>
      </c>
      <c r="B77" s="20">
        <f>IF(AND(A77&gt;=$B$26,A77&lt;$B$26+$B$23),1,0)</f>
        <v>1</v>
      </c>
      <c r="C77" s="27">
        <f>(1+$B$27)^(A77-2026)</f>
        <v>1.3458683383241292</v>
      </c>
      <c r="D77" s="51">
        <f>B77*$B$6*$B$12*C77</f>
        <v>2187036.0497767101</v>
      </c>
      <c r="E77" s="51">
        <f>D77*$B$13</f>
        <v>1749628.8398213682</v>
      </c>
      <c r="F77" s="51">
        <f>D77-E77</f>
        <v>437407.20995534188</v>
      </c>
      <c r="G77" s="51">
        <f>-D77*$B$19</f>
        <v>-174962.88398213682</v>
      </c>
      <c r="H77" s="51">
        <f>-B77*($B$20*$B$6+$B$14*$B$7*$B$21+$B$14*$B$7*$B$15*$B$22)*C77</f>
        <v>-138169.61946580291</v>
      </c>
      <c r="I77" s="51">
        <f>-B77*$B$18*$B$29*C77</f>
        <v>-289698.15982426883</v>
      </c>
      <c r="J77" s="51">
        <f>D77+G77+H77+I77</f>
        <v>1584205.3865045016</v>
      </c>
      <c r="K77" s="51">
        <f>-IF(A77=$B$26-1,$B$29*C77,0)</f>
        <v>0</v>
      </c>
      <c r="L77" s="51">
        <f>IF(B77=1,IF(A77=$B$26+$B$23-1,M76-K77,(M76-K77)*$B$24),0)</f>
        <v>86933.768358081579</v>
      </c>
      <c r="M77" s="51">
        <f>M76-K77-L77</f>
        <v>260801.30507424474</v>
      </c>
      <c r="N77" s="51">
        <f>J77-L77</f>
        <v>1497271.61814642</v>
      </c>
      <c r="O77" s="51">
        <f>MAX(0,O76-N77)</f>
        <v>0</v>
      </c>
      <c r="P77" s="51">
        <f>MAX(0,N77-O76)</f>
        <v>1497271.61814642</v>
      </c>
      <c r="Q77" s="51">
        <f>-P77*$B$28</f>
        <v>-299454.32362928399</v>
      </c>
      <c r="R77" s="51">
        <f>J77+K77+Q77</f>
        <v>1284751.0628752175</v>
      </c>
      <c r="S77" s="27">
        <f>1/(1+$B$25)^(A77-2026)</f>
        <v>0.36244601964235967</v>
      </c>
      <c r="T77" s="51">
        <f>T76+R77</f>
        <v>3888127.9013688285</v>
      </c>
      <c r="U77" s="51">
        <f>U76+R77*S77</f>
        <v>-2914400.5681358967</v>
      </c>
    </row>
    <row r="78" spans="1:21" ht="15" customHeight="1">
      <c r="A78" s="60">
        <v>2042</v>
      </c>
      <c r="B78" s="20">
        <f>IF(AND(A78&gt;=$B$26,A78&lt;$B$26+$B$23),1,0)</f>
        <v>1</v>
      </c>
      <c r="C78" s="27">
        <f>(1+$B$27)^(A78-2026)</f>
        <v>1.372785705090612</v>
      </c>
      <c r="D78" s="51">
        <f>B78*$B$6*$B$12*C78</f>
        <v>2230776.7707722448</v>
      </c>
      <c r="E78" s="51">
        <f>D78*$B$13</f>
        <v>1784621.4166177958</v>
      </c>
      <c r="F78" s="51">
        <f>D78-E78</f>
        <v>446155.35415444896</v>
      </c>
      <c r="G78" s="51">
        <f>-D78*$B$19</f>
        <v>-178462.14166177958</v>
      </c>
      <c r="H78" s="51">
        <f>-B78*($B$20*$B$6+$B$14*$B$7*$B$21+$B$14*$B$7*$B$15*$B$22)*C78</f>
        <v>-140933.011855119</v>
      </c>
      <c r="I78" s="51">
        <f>-B78*$B$18*$B$29*C78</f>
        <v>-295492.12302075425</v>
      </c>
      <c r="J78" s="51">
        <f>D78+G78+H78+I78</f>
        <v>1615889.4942345922</v>
      </c>
      <c r="K78" s="51">
        <f>-IF(A78=$B$26-1,$B$29*C78,0)</f>
        <v>0</v>
      </c>
      <c r="L78" s="51">
        <f>IF(B78=1,IF(A78=$B$26+$B$23-1,M77-K78,(M77-K78)*$B$24),0)</f>
        <v>260801.30507424474</v>
      </c>
      <c r="M78" s="51">
        <f>M77-K78-L78</f>
        <v>0</v>
      </c>
      <c r="N78" s="51">
        <f>J78-L78</f>
        <v>1355088.1891603475</v>
      </c>
      <c r="O78" s="51">
        <f>MAX(0,O77-N78)</f>
        <v>0</v>
      </c>
      <c r="P78" s="51">
        <f>MAX(0,N78-O77)</f>
        <v>1355088.1891603475</v>
      </c>
      <c r="Q78" s="51">
        <f>-P78*$B$28</f>
        <v>-271017.63783206948</v>
      </c>
      <c r="R78" s="51">
        <f>J78+K78+Q78</f>
        <v>1344871.8564025227</v>
      </c>
      <c r="S78" s="27">
        <f>1/(1+$B$25)^(A78-2026)</f>
        <v>0.33873459779659787</v>
      </c>
      <c r="T78" s="51">
        <f>T77+R78</f>
        <v>5232999.7577713514</v>
      </c>
      <c r="U78" s="51">
        <f>U77+R78*S78</f>
        <v>-2458845.9407694242</v>
      </c>
    </row>
    <row r="79" spans="1:21" ht="15" customHeight="1">
      <c r="A79" s="60">
        <v>2043</v>
      </c>
      <c r="B79" s="20">
        <f>IF(AND(A79&gt;=$B$26,A79&lt;$B$26+$B$23),1,0)</f>
        <v>0</v>
      </c>
      <c r="C79" s="27">
        <f>(1+$B$27)^(A79-2026)</f>
        <v>1.4002414191924244</v>
      </c>
      <c r="D79" s="51">
        <f>B79*$B$6*$B$12*C79</f>
        <v>0</v>
      </c>
      <c r="E79" s="51">
        <f>D79*$B$13</f>
        <v>0</v>
      </c>
      <c r="F79" s="51">
        <f>D79-E79</f>
        <v>0</v>
      </c>
      <c r="G79" s="51">
        <f>-D79*$B$19</f>
        <v>0</v>
      </c>
      <c r="H79" s="51">
        <f>-B79*($B$20*$B$6+$B$14*$B$7*$B$21+$B$14*$B$7*$B$15*$B$22)*C79</f>
        <v>0</v>
      </c>
      <c r="I79" s="51">
        <f>-B79*$B$18*$B$29*C79</f>
        <v>0</v>
      </c>
      <c r="J79" s="51">
        <f>D79+G79+H79+I79</f>
        <v>0</v>
      </c>
      <c r="K79" s="51">
        <f>-IF(A79=$B$26-1,$B$29*C79,0)</f>
        <v>0</v>
      </c>
      <c r="L79" s="51">
        <f>IF(B79=1,IF(A79=$B$26+$B$23-1,M78-K79,(M78-K79)*$B$24),0)</f>
        <v>0</v>
      </c>
      <c r="M79" s="51">
        <f>M78-K79-L79</f>
        <v>0</v>
      </c>
      <c r="N79" s="51">
        <f>J79-L79</f>
        <v>0</v>
      </c>
      <c r="O79" s="51">
        <f>MAX(0,O78-N79)</f>
        <v>0</v>
      </c>
      <c r="P79" s="51">
        <f>MAX(0,N79-O78)</f>
        <v>0</v>
      </c>
      <c r="Q79" s="51">
        <f>-P79*$B$28</f>
        <v>0</v>
      </c>
      <c r="R79" s="51">
        <f>J79+K79+Q79</f>
        <v>0</v>
      </c>
      <c r="S79" s="27">
        <f>1/(1+$B$25)^(A79-2026)</f>
        <v>0.31657439046411018</v>
      </c>
      <c r="T79" s="51">
        <f>T78+R79</f>
        <v>5232999.7577713514</v>
      </c>
      <c r="U79" s="51">
        <f>U78+R79*S79</f>
        <v>-2458845.9407694242</v>
      </c>
    </row>
    <row r="80" spans="1:21" ht="15" customHeight="1">
      <c r="A80" s="60">
        <v>2044</v>
      </c>
      <c r="B80" s="20">
        <f>IF(AND(A80&gt;=$B$26,A80&lt;$B$26+$B$23),1,0)</f>
        <v>0</v>
      </c>
      <c r="C80" s="27">
        <f>(1+$B$27)^(A80-2026)</f>
        <v>1.4282462475762727</v>
      </c>
      <c r="D80" s="51">
        <f>B80*$B$6*$B$12*C80</f>
        <v>0</v>
      </c>
      <c r="E80" s="51">
        <f>D80*$B$13</f>
        <v>0</v>
      </c>
      <c r="F80" s="51">
        <f>D80-E80</f>
        <v>0</v>
      </c>
      <c r="G80" s="51">
        <f>-D80*$B$19</f>
        <v>0</v>
      </c>
      <c r="H80" s="51">
        <f>-B80*($B$20*$B$6+$B$14*$B$7*$B$21+$B$14*$B$7*$B$15*$B$22)*C80</f>
        <v>0</v>
      </c>
      <c r="I80" s="51">
        <f>-B80*$B$18*$B$29*C80</f>
        <v>0</v>
      </c>
      <c r="J80" s="51">
        <f>D80+G80+H80+I80</f>
        <v>0</v>
      </c>
      <c r="K80" s="51">
        <f>-IF(A80=$B$26-1,$B$29*C80,0)</f>
        <v>0</v>
      </c>
      <c r="L80" s="51">
        <f>IF(B80=1,IF(A80=$B$26+$B$23-1,M79-K80,(M79-K80)*$B$24),0)</f>
        <v>0</v>
      </c>
      <c r="M80" s="51">
        <f>M79-K80-L80</f>
        <v>0</v>
      </c>
      <c r="N80" s="51">
        <f>J80-L80</f>
        <v>0</v>
      </c>
      <c r="O80" s="51">
        <f>MAX(0,O79-N80)</f>
        <v>0</v>
      </c>
      <c r="P80" s="51">
        <f>MAX(0,N80-O79)</f>
        <v>0</v>
      </c>
      <c r="Q80" s="51">
        <f>-P80*$B$28</f>
        <v>0</v>
      </c>
      <c r="R80" s="51">
        <f>J80+K80+Q80</f>
        <v>0</v>
      </c>
      <c r="S80" s="27">
        <f>1/(1+$B$25)^(A80-2026)</f>
        <v>0.29586391632159825</v>
      </c>
      <c r="T80" s="51">
        <f>T79+R80</f>
        <v>5232999.7577713514</v>
      </c>
      <c r="U80" s="51">
        <f>U79+R80*S80</f>
        <v>-2458845.9407694242</v>
      </c>
    </row>
    <row r="81" spans="1:21" ht="15" customHeight="1">
      <c r="A81" s="60">
        <v>2045</v>
      </c>
      <c r="B81" s="20">
        <f>IF(AND(A81&gt;=$B$26,A81&lt;$B$26+$B$23),1,0)</f>
        <v>0</v>
      </c>
      <c r="C81" s="27">
        <f>(1+$B$27)^(A81-2026)</f>
        <v>1.4568111725277981</v>
      </c>
      <c r="D81" s="51">
        <f>B81*$B$6*$B$12*C81</f>
        <v>0</v>
      </c>
      <c r="E81" s="51">
        <f>D81*$B$13</f>
        <v>0</v>
      </c>
      <c r="F81" s="51">
        <f>D81-E81</f>
        <v>0</v>
      </c>
      <c r="G81" s="51">
        <f>-D81*$B$19</f>
        <v>0</v>
      </c>
      <c r="H81" s="51">
        <f>-B81*($B$20*$B$6+$B$14*$B$7*$B$21+$B$14*$B$7*$B$15*$B$22)*C81</f>
        <v>0</v>
      </c>
      <c r="I81" s="51">
        <f>-B81*$B$18*$B$29*C81</f>
        <v>0</v>
      </c>
      <c r="J81" s="51">
        <f>D81+G81+H81+I81</f>
        <v>0</v>
      </c>
      <c r="K81" s="51">
        <f>-IF(A81=$B$26-1,$B$29*C81,0)</f>
        <v>0</v>
      </c>
      <c r="L81" s="51">
        <f>IF(B81=1,IF(A81=$B$26+$B$23-1,M80-K81,(M80-K81)*$B$24),0)</f>
        <v>0</v>
      </c>
      <c r="M81" s="51">
        <f>M80-K81-L81</f>
        <v>0</v>
      </c>
      <c r="N81" s="51">
        <f>J81-L81</f>
        <v>0</v>
      </c>
      <c r="O81" s="51">
        <f>MAX(0,O80-N81)</f>
        <v>0</v>
      </c>
      <c r="P81" s="51">
        <f>MAX(0,N81-O80)</f>
        <v>0</v>
      </c>
      <c r="Q81" s="51">
        <f>-P81*$B$28</f>
        <v>0</v>
      </c>
      <c r="R81" s="51">
        <f>J81+K81+Q81</f>
        <v>0</v>
      </c>
      <c r="S81" s="27">
        <f>1/(1+$B$25)^(A81-2026)</f>
        <v>0.27650833301083949</v>
      </c>
      <c r="T81" s="51">
        <f>T80+R81</f>
        <v>5232999.7577713514</v>
      </c>
      <c r="U81" s="51">
        <f>U80+R81*S81</f>
        <v>-2458845.9407694242</v>
      </c>
    </row>
    <row r="82" spans="1:21" ht="15" customHeight="1">
      <c r="A82" s="60">
        <v>2046</v>
      </c>
      <c r="B82" s="20">
        <f>IF(AND(A82&gt;=$B$26,A82&lt;$B$26+$B$23),1,0)</f>
        <v>0</v>
      </c>
      <c r="C82" s="27">
        <f>(1+$B$27)^(A82-2026)</f>
        <v>1.4859473959783542</v>
      </c>
      <c r="D82" s="51">
        <f>B82*$B$6*$B$12*C82</f>
        <v>0</v>
      </c>
      <c r="E82" s="51">
        <f>D82*$B$13</f>
        <v>0</v>
      </c>
      <c r="F82" s="51">
        <f>D82-E82</f>
        <v>0</v>
      </c>
      <c r="G82" s="51">
        <f>-D82*$B$19</f>
        <v>0</v>
      </c>
      <c r="H82" s="51">
        <f>-B82*($B$20*$B$6+$B$14*$B$7*$B$21+$B$14*$B$7*$B$15*$B$22)*C82</f>
        <v>0</v>
      </c>
      <c r="I82" s="51">
        <f>-B82*$B$18*$B$29*C82</f>
        <v>0</v>
      </c>
      <c r="J82" s="51">
        <f>D82+G82+H82+I82</f>
        <v>0</v>
      </c>
      <c r="K82" s="51">
        <f>-IF(A82=$B$26-1,$B$29*C82,0)</f>
        <v>0</v>
      </c>
      <c r="L82" s="51">
        <f>IF(B82=1,IF(A82=$B$26+$B$23-1,M81-K82,(M81-K82)*$B$24),0)</f>
        <v>0</v>
      </c>
      <c r="M82" s="51">
        <f>M81-K82-L82</f>
        <v>0</v>
      </c>
      <c r="N82" s="51">
        <f>J82-L82</f>
        <v>0</v>
      </c>
      <c r="O82" s="51">
        <f>MAX(0,O81-N82)</f>
        <v>0</v>
      </c>
      <c r="P82" s="51">
        <f>MAX(0,N82-O81)</f>
        <v>0</v>
      </c>
      <c r="Q82" s="51">
        <f>-P82*$B$28</f>
        <v>0</v>
      </c>
      <c r="R82" s="51">
        <f>J82+K82+Q82</f>
        <v>0</v>
      </c>
      <c r="S82" s="27">
        <f>1/(1+$B$25)^(A82-2026)</f>
        <v>0.2584190028138687</v>
      </c>
      <c r="T82" s="51">
        <f>T81+R82</f>
        <v>5232999.7577713514</v>
      </c>
      <c r="U82" s="51">
        <f>U81+R82*S82</f>
        <v>-2458845.9407694242</v>
      </c>
    </row>
    <row r="83" spans="1:21" ht="15" customHeight="1">
      <c r="A83" s="60">
        <v>2047</v>
      </c>
      <c r="B83" s="20">
        <f>IF(AND(A83&gt;=$B$26,A83&lt;$B$26+$B$23),1,0)</f>
        <v>0</v>
      </c>
      <c r="C83" s="27">
        <f>(1+$B$27)^(A83-2026)</f>
        <v>1.5156663438979212</v>
      </c>
      <c r="D83" s="51">
        <f>B83*$B$6*$B$12*C83</f>
        <v>0</v>
      </c>
      <c r="E83" s="51">
        <f>D83*$B$13</f>
        <v>0</v>
      </c>
      <c r="F83" s="51">
        <f>D83-E83</f>
        <v>0</v>
      </c>
      <c r="G83" s="51">
        <f>-D83*$B$19</f>
        <v>0</v>
      </c>
      <c r="H83" s="51">
        <f>-B83*($B$20*$B$6+$B$14*$B$7*$B$21+$B$14*$B$7*$B$15*$B$22)*C83</f>
        <v>0</v>
      </c>
      <c r="I83" s="51">
        <f>-B83*$B$18*$B$29*C83</f>
        <v>0</v>
      </c>
      <c r="J83" s="51">
        <f>D83+G83+H83+I83</f>
        <v>0</v>
      </c>
      <c r="K83" s="51">
        <f>-IF(A83=$B$26-1,$B$29*C83,0)</f>
        <v>0</v>
      </c>
      <c r="L83" s="51">
        <f>IF(B83=1,IF(A83=$B$26+$B$23-1,M82-K83,(M82-K83)*$B$24),0)</f>
        <v>0</v>
      </c>
      <c r="M83" s="51">
        <f>M82-K83-L83</f>
        <v>0</v>
      </c>
      <c r="N83" s="51">
        <f>J83-L83</f>
        <v>0</v>
      </c>
      <c r="O83" s="51">
        <f>MAX(0,O82-N83)</f>
        <v>0</v>
      </c>
      <c r="P83" s="51">
        <f>MAX(0,N83-O82)</f>
        <v>0</v>
      </c>
      <c r="Q83" s="51">
        <f>-P83*$B$28</f>
        <v>0</v>
      </c>
      <c r="R83" s="51">
        <f>J83+K83+Q83</f>
        <v>0</v>
      </c>
      <c r="S83" s="27">
        <f>1/(1+$B$25)^(A83-2026)</f>
        <v>0.24151308674193336</v>
      </c>
      <c r="T83" s="51">
        <f>T82+R83</f>
        <v>5232999.7577713514</v>
      </c>
      <c r="U83" s="51">
        <f>U82+R83*S83</f>
        <v>-2458845.9407694242</v>
      </c>
    </row>
    <row r="84" spans="1:21" ht="15" customHeight="1">
      <c r="A84" s="60">
        <v>2048</v>
      </c>
      <c r="B84" s="20">
        <f>IF(AND(A84&gt;=$B$26,A84&lt;$B$26+$B$23),1,0)</f>
        <v>0</v>
      </c>
      <c r="C84" s="27">
        <f>(1+$B$27)^(A84-2026)</f>
        <v>1.5459796707758797</v>
      </c>
      <c r="D84" s="51">
        <f>B84*$B$6*$B$12*C84</f>
        <v>0</v>
      </c>
      <c r="E84" s="51">
        <f>D84*$B$13</f>
        <v>0</v>
      </c>
      <c r="F84" s="51">
        <f>D84-E84</f>
        <v>0</v>
      </c>
      <c r="G84" s="51">
        <f>-D84*$B$19</f>
        <v>0</v>
      </c>
      <c r="H84" s="51">
        <f>-B84*($B$20*$B$6+$B$14*$B$7*$B$21+$B$14*$B$7*$B$15*$B$22)*C84</f>
        <v>0</v>
      </c>
      <c r="I84" s="51">
        <f>-B84*$B$18*$B$29*C84</f>
        <v>0</v>
      </c>
      <c r="J84" s="51">
        <f>D84+G84+H84+I84</f>
        <v>0</v>
      </c>
      <c r="K84" s="51">
        <f>-IF(A84=$B$26-1,$B$29*C84,0)</f>
        <v>0</v>
      </c>
      <c r="L84" s="51">
        <f>IF(B84=1,IF(A84=$B$26+$B$23-1,M83-K84,(M83-K84)*$B$24),0)</f>
        <v>0</v>
      </c>
      <c r="M84" s="51">
        <f>M83-K84-L84</f>
        <v>0</v>
      </c>
      <c r="N84" s="51">
        <f>J84-L84</f>
        <v>0</v>
      </c>
      <c r="O84" s="51">
        <f>MAX(0,O83-N84)</f>
        <v>0</v>
      </c>
      <c r="P84" s="51">
        <f>MAX(0,N84-O83)</f>
        <v>0</v>
      </c>
      <c r="Q84" s="51">
        <f>-P84*$B$28</f>
        <v>0</v>
      </c>
      <c r="R84" s="51">
        <f>J84+K84+Q84</f>
        <v>0</v>
      </c>
      <c r="S84" s="27">
        <f>1/(1+$B$25)^(A84-2026)</f>
        <v>0.22571316517937698</v>
      </c>
      <c r="T84" s="51">
        <f>T83+R84</f>
        <v>5232999.7577713514</v>
      </c>
      <c r="U84" s="51">
        <f>U83+R84*S84</f>
        <v>-2458845.9407694242</v>
      </c>
    </row>
    <row r="85" spans="1:21" ht="15" customHeight="1">
      <c r="A85" s="60">
        <v>2049</v>
      </c>
      <c r="B85" s="20">
        <f>IF(AND(A85&gt;=$B$26,A85&lt;$B$26+$B$23),1,0)</f>
        <v>0</v>
      </c>
      <c r="C85" s="27">
        <f>(1+$B$27)^(A85-2026)</f>
        <v>1.576899264191397</v>
      </c>
      <c r="D85" s="51">
        <f>B85*$B$6*$B$12*C85</f>
        <v>0</v>
      </c>
      <c r="E85" s="51">
        <f>D85*$B$13</f>
        <v>0</v>
      </c>
      <c r="F85" s="51">
        <f>D85-E85</f>
        <v>0</v>
      </c>
      <c r="G85" s="51">
        <f>-D85*$B$19</f>
        <v>0</v>
      </c>
      <c r="H85" s="51">
        <f>-B85*($B$20*$B$6+$B$14*$B$7*$B$21+$B$14*$B$7*$B$15*$B$22)*C85</f>
        <v>0</v>
      </c>
      <c r="I85" s="51">
        <f>-B85*$B$18*$B$29*C85</f>
        <v>0</v>
      </c>
      <c r="J85" s="51">
        <f>D85+G85+H85+I85</f>
        <v>0</v>
      </c>
      <c r="K85" s="51">
        <f>-IF(A85=$B$26-1,$B$29*C85,0)</f>
        <v>0</v>
      </c>
      <c r="L85" s="51">
        <f>IF(B85=1,IF(A85=$B$26+$B$23-1,M84-K85,(M84-K85)*$B$24),0)</f>
        <v>0</v>
      </c>
      <c r="M85" s="51">
        <f>M84-K85-L85</f>
        <v>0</v>
      </c>
      <c r="N85" s="51">
        <f>J85-L85</f>
        <v>0</v>
      </c>
      <c r="O85" s="51">
        <f>MAX(0,O84-N85)</f>
        <v>0</v>
      </c>
      <c r="P85" s="51">
        <f>MAX(0,N85-O84)</f>
        <v>0</v>
      </c>
      <c r="Q85" s="51">
        <f>-P85*$B$28</f>
        <v>0</v>
      </c>
      <c r="R85" s="51">
        <f>J85+K85+Q85</f>
        <v>0</v>
      </c>
      <c r="S85" s="27">
        <f>1/(1+$B$25)^(A85-2026)</f>
        <v>0.21094688334521211</v>
      </c>
      <c r="T85" s="51">
        <f>T84+R85</f>
        <v>5232999.7577713514</v>
      </c>
      <c r="U85" s="51">
        <f>U84+R85*S85</f>
        <v>-2458845.9407694242</v>
      </c>
    </row>
    <row r="86" spans="1:21" ht="15" customHeight="1">
      <c r="A86" s="60">
        <v>2050</v>
      </c>
      <c r="B86" s="20">
        <f>IF(AND(A86&gt;=$B$26,A86&lt;$B$26+$B$23),1,0)</f>
        <v>0</v>
      </c>
      <c r="C86" s="27">
        <f>(1+$B$27)^(A86-2026)</f>
        <v>1.608437249475225</v>
      </c>
      <c r="D86" s="51">
        <f>B86*$B$6*$B$12*C86</f>
        <v>0</v>
      </c>
      <c r="E86" s="51">
        <f>D86*$B$13</f>
        <v>0</v>
      </c>
      <c r="F86" s="51">
        <f>D86-E86</f>
        <v>0</v>
      </c>
      <c r="G86" s="51">
        <f>-D86*$B$19</f>
        <v>0</v>
      </c>
      <c r="H86" s="51">
        <f>-B86*($B$20*$B$6+$B$14*$B$7*$B$21+$B$14*$B$7*$B$15*$B$22)*C86</f>
        <v>0</v>
      </c>
      <c r="I86" s="51">
        <f>-B86*$B$18*$B$29*C86</f>
        <v>0</v>
      </c>
      <c r="J86" s="51">
        <f>D86+G86+H86+I86</f>
        <v>0</v>
      </c>
      <c r="K86" s="51">
        <f>-IF(A86=$B$26-1,$B$29*C86,0)</f>
        <v>0</v>
      </c>
      <c r="L86" s="51">
        <f>IF(B86=1,IF(A86=$B$26+$B$23-1,M85-K86,(M85-K86)*$B$24),0)</f>
        <v>0</v>
      </c>
      <c r="M86" s="51">
        <f>M85-K86-L86</f>
        <v>0</v>
      </c>
      <c r="N86" s="51">
        <f>J86-L86</f>
        <v>0</v>
      </c>
      <c r="O86" s="51">
        <f>MAX(0,O85-N86)</f>
        <v>0</v>
      </c>
      <c r="P86" s="51">
        <f>MAX(0,N86-O85)</f>
        <v>0</v>
      </c>
      <c r="Q86" s="51">
        <f>-P86*$B$28</f>
        <v>0</v>
      </c>
      <c r="R86" s="51">
        <f>J86+K86+Q86</f>
        <v>0</v>
      </c>
      <c r="S86" s="27">
        <f>1/(1+$B$25)^(A86-2026)</f>
        <v>0.19714661994879637</v>
      </c>
      <c r="T86" s="51">
        <f>T85+R86</f>
        <v>5232999.7577713514</v>
      </c>
      <c r="U86" s="51">
        <f>U85+R86*S86</f>
        <v>-2458845.9407694242</v>
      </c>
    </row>
    <row r="87" spans="1:21" ht="15" customHeight="1">
      <c r="A87" s="60">
        <v>2051</v>
      </c>
      <c r="B87" s="20">
        <f>IF(AND(A87&gt;=$B$26,A87&lt;$B$26+$B$23),1,0)</f>
        <v>0</v>
      </c>
      <c r="C87" s="27">
        <f>(1+$B$27)^(A87-2026)</f>
        <v>1.6406059944647295</v>
      </c>
      <c r="D87" s="51">
        <f>B87*$B$6*$B$12*C87</f>
        <v>0</v>
      </c>
      <c r="E87" s="51">
        <f>D87*$B$13</f>
        <v>0</v>
      </c>
      <c r="F87" s="51">
        <f>D87-E87</f>
        <v>0</v>
      </c>
      <c r="G87" s="51">
        <f>-D87*$B$19</f>
        <v>0</v>
      </c>
      <c r="H87" s="51">
        <f>-B87*($B$20*$B$6+$B$14*$B$7*$B$21+$B$14*$B$7*$B$15*$B$22)*C87</f>
        <v>0</v>
      </c>
      <c r="I87" s="51">
        <f>-B87*$B$18*$B$29*C87</f>
        <v>0</v>
      </c>
      <c r="J87" s="51">
        <f>D87+G87+H87+I87</f>
        <v>0</v>
      </c>
      <c r="K87" s="51">
        <f>-IF(A87=$B$26-1,$B$29*C87,0)</f>
        <v>0</v>
      </c>
      <c r="L87" s="51">
        <f>IF(B87=1,IF(A87=$B$26+$B$23-1,M86-K87,(M86-K87)*$B$24),0)</f>
        <v>0</v>
      </c>
      <c r="M87" s="51">
        <f>M86-K87-L87</f>
        <v>0</v>
      </c>
      <c r="N87" s="51">
        <f>J87-L87</f>
        <v>0</v>
      </c>
      <c r="O87" s="51">
        <f>MAX(0,O86-N87)</f>
        <v>0</v>
      </c>
      <c r="P87" s="51">
        <f>MAX(0,N87-O86)</f>
        <v>0</v>
      </c>
      <c r="Q87" s="51">
        <f>-P87*$B$28</f>
        <v>0</v>
      </c>
      <c r="R87" s="51">
        <f>J87+K87+Q87</f>
        <v>0</v>
      </c>
      <c r="S87" s="27">
        <f>1/(1+$B$25)^(A87-2026)</f>
        <v>0.18424917752223957</v>
      </c>
      <c r="T87" s="51">
        <f>T86+R87</f>
        <v>5232999.7577713514</v>
      </c>
      <c r="U87" s="51">
        <f>U86+R87*S87</f>
        <v>-2458845.9407694242</v>
      </c>
    </row>
    <row r="88" spans="1:21" ht="15" customHeight="1">
      <c r="A88" s="60">
        <v>2052</v>
      </c>
      <c r="B88" s="20">
        <f>IF(AND(A88&gt;=$B$26,A88&lt;$B$26+$B$23),1,0)</f>
        <v>0</v>
      </c>
      <c r="C88" s="27">
        <f>(1+$B$27)^(A88-2026)</f>
        <v>1.6734181143540243</v>
      </c>
      <c r="D88" s="51">
        <f>B88*$B$6*$B$12*C88</f>
        <v>0</v>
      </c>
      <c r="E88" s="51">
        <f>D88*$B$13</f>
        <v>0</v>
      </c>
      <c r="F88" s="51">
        <f>D88-E88</f>
        <v>0</v>
      </c>
      <c r="G88" s="51">
        <f>-D88*$B$19</f>
        <v>0</v>
      </c>
      <c r="H88" s="51">
        <f>-B88*($B$20*$B$6+$B$14*$B$7*$B$21+$B$14*$B$7*$B$15*$B$22)*C88</f>
        <v>0</v>
      </c>
      <c r="I88" s="51">
        <f>-B88*$B$18*$B$29*C88</f>
        <v>0</v>
      </c>
      <c r="J88" s="51">
        <f>D88+G88+H88+I88</f>
        <v>0</v>
      </c>
      <c r="K88" s="51">
        <f>-IF(A88=$B$26-1,$B$29*C88,0)</f>
        <v>0</v>
      </c>
      <c r="L88" s="51">
        <f>IF(B88=1,IF(A88=$B$26+$B$23-1,M87-K88,(M87-K88)*$B$24),0)</f>
        <v>0</v>
      </c>
      <c r="M88" s="51">
        <f>M87-K88-L88</f>
        <v>0</v>
      </c>
      <c r="N88" s="51">
        <f>J88-L88</f>
        <v>0</v>
      </c>
      <c r="O88" s="51">
        <f>MAX(0,O87-N88)</f>
        <v>0</v>
      </c>
      <c r="P88" s="51">
        <f>MAX(0,N88-O87)</f>
        <v>0</v>
      </c>
      <c r="Q88" s="51">
        <f>-P88*$B$28</f>
        <v>0</v>
      </c>
      <c r="R88" s="51">
        <f>J88+K88+Q88</f>
        <v>0</v>
      </c>
      <c r="S88" s="27">
        <f>1/(1+$B$25)^(A88-2026)</f>
        <v>0.17219549301143888</v>
      </c>
      <c r="T88" s="51">
        <f>T87+R88</f>
        <v>5232999.7577713514</v>
      </c>
      <c r="U88" s="51">
        <f>U87+R88*S88</f>
        <v>-2458845.9407694242</v>
      </c>
    </row>
    <row r="89" spans="1:21" ht="15" customHeight="1">
      <c r="A89" s="60">
        <v>2053</v>
      </c>
      <c r="B89" s="20">
        <f>IF(AND(A89&gt;=$B$26,A89&lt;$B$26+$B$23),1,0)</f>
        <v>0</v>
      </c>
      <c r="C89" s="27">
        <f>(1+$B$27)^(A89-2026)</f>
        <v>1.7068864766411045</v>
      </c>
      <c r="D89" s="51">
        <f>B89*$B$6*$B$12*C89</f>
        <v>0</v>
      </c>
      <c r="E89" s="51">
        <f>D89*$B$13</f>
        <v>0</v>
      </c>
      <c r="F89" s="51">
        <f>D89-E89</f>
        <v>0</v>
      </c>
      <c r="G89" s="51">
        <f>-D89*$B$19</f>
        <v>0</v>
      </c>
      <c r="H89" s="51">
        <f>-B89*($B$20*$B$6+$B$14*$B$7*$B$21+$B$14*$B$7*$B$15*$B$22)*C89</f>
        <v>0</v>
      </c>
      <c r="I89" s="51">
        <f>-B89*$B$18*$B$29*C89</f>
        <v>0</v>
      </c>
      <c r="J89" s="51">
        <f>D89+G89+H89+I89</f>
        <v>0</v>
      </c>
      <c r="K89" s="51">
        <f>-IF(A89=$B$26-1,$B$29*C89,0)</f>
        <v>0</v>
      </c>
      <c r="L89" s="51">
        <f>IF(B89=1,IF(A89=$B$26+$B$23-1,M88-K89,(M88-K89)*$B$24),0)</f>
        <v>0</v>
      </c>
      <c r="M89" s="51">
        <f>M88-K89-L89</f>
        <v>0</v>
      </c>
      <c r="N89" s="51">
        <f>J89-L89</f>
        <v>0</v>
      </c>
      <c r="O89" s="51">
        <f>MAX(0,O88-N89)</f>
        <v>0</v>
      </c>
      <c r="P89" s="51">
        <f>MAX(0,N89-O88)</f>
        <v>0</v>
      </c>
      <c r="Q89" s="51">
        <f>-P89*$B$28</f>
        <v>0</v>
      </c>
      <c r="R89" s="51">
        <f>J89+K89+Q89</f>
        <v>0</v>
      </c>
      <c r="S89" s="27">
        <f>1/(1+$B$25)^(A89-2026)</f>
        <v>0.16093036730041013</v>
      </c>
      <c r="T89" s="51">
        <f>T88+R89</f>
        <v>5232999.7577713514</v>
      </c>
      <c r="U89" s="51">
        <f>U88+R89*S89</f>
        <v>-2458845.9407694242</v>
      </c>
    </row>
    <row r="90" spans="1:21" ht="15" customHeight="1">
      <c r="A90" s="60">
        <v>2054</v>
      </c>
      <c r="B90" s="20">
        <f>IF(AND(A90&gt;=$B$26,A90&lt;$B$26+$B$23),1,0)</f>
        <v>0</v>
      </c>
      <c r="C90" s="27">
        <f>(1+$B$27)^(A90-2026)</f>
        <v>1.7410242061739269</v>
      </c>
      <c r="D90" s="51">
        <f>B90*$B$6*$B$12*C90</f>
        <v>0</v>
      </c>
      <c r="E90" s="51">
        <f>D90*$B$13</f>
        <v>0</v>
      </c>
      <c r="F90" s="51">
        <f>D90-E90</f>
        <v>0</v>
      </c>
      <c r="G90" s="51">
        <f>-D90*$B$19</f>
        <v>0</v>
      </c>
      <c r="H90" s="51">
        <f>-B90*($B$20*$B$6+$B$14*$B$7*$B$21+$B$14*$B$7*$B$15*$B$22)*C90</f>
        <v>0</v>
      </c>
      <c r="I90" s="51">
        <f>-B90*$B$18*$B$29*C90</f>
        <v>0</v>
      </c>
      <c r="J90" s="51">
        <f>D90+G90+H90+I90</f>
        <v>0</v>
      </c>
      <c r="K90" s="51">
        <f>-IF(A90=$B$26-1,$B$29*C90,0)</f>
        <v>0</v>
      </c>
      <c r="L90" s="51">
        <f>IF(B90=1,IF(A90=$B$26+$B$23-1,M89-K90,(M89-K90)*$B$24),0)</f>
        <v>0</v>
      </c>
      <c r="M90" s="51">
        <f>M89-K90-L90</f>
        <v>0</v>
      </c>
      <c r="N90" s="51">
        <f>J90-L90</f>
        <v>0</v>
      </c>
      <c r="O90" s="51">
        <f>MAX(0,O89-N90)</f>
        <v>0</v>
      </c>
      <c r="P90" s="51">
        <f>MAX(0,N90-O89)</f>
        <v>0</v>
      </c>
      <c r="Q90" s="51">
        <f>-P90*$B$28</f>
        <v>0</v>
      </c>
      <c r="R90" s="51">
        <f>J90+K90+Q90</f>
        <v>0</v>
      </c>
      <c r="S90" s="27">
        <f>1/(1+$B$25)^(A90-2026)</f>
        <v>0.15040221243028987</v>
      </c>
      <c r="T90" s="51">
        <f>T89+R90</f>
        <v>5232999.7577713514</v>
      </c>
      <c r="U90" s="51">
        <f>U89+R90*S90</f>
        <v>-2458845.9407694242</v>
      </c>
    </row>
    <row r="91" spans="1:21" ht="15" customHeight="1">
      <c r="A91" s="60">
        <v>2055</v>
      </c>
      <c r="B91" s="20">
        <f>IF(AND(A91&gt;=$B$26,A91&lt;$B$26+$B$23),1,0)</f>
        <v>0</v>
      </c>
      <c r="C91" s="27">
        <f>(1+$B$27)^(A91-2026)</f>
        <v>1.7758446902974052</v>
      </c>
      <c r="D91" s="51">
        <f>B91*$B$6*$B$12*C91</f>
        <v>0</v>
      </c>
      <c r="E91" s="51">
        <f>D91*$B$13</f>
        <v>0</v>
      </c>
      <c r="F91" s="51">
        <f>D91-E91</f>
        <v>0</v>
      </c>
      <c r="G91" s="51">
        <f>-D91*$B$19</f>
        <v>0</v>
      </c>
      <c r="H91" s="51">
        <f>-B91*($B$20*$B$6+$B$14*$B$7*$B$21+$B$14*$B$7*$B$15*$B$22)*C91</f>
        <v>0</v>
      </c>
      <c r="I91" s="51">
        <f>-B91*$B$18*$B$29*C91</f>
        <v>0</v>
      </c>
      <c r="J91" s="51">
        <f>D91+G91+H91+I91</f>
        <v>0</v>
      </c>
      <c r="K91" s="51">
        <f>-IF(A91=$B$26-1,$B$29*C91,0)</f>
        <v>0</v>
      </c>
      <c r="L91" s="51">
        <f>IF(B91=1,IF(A91=$B$26+$B$23-1,M90-K91,(M90-K91)*$B$24),0)</f>
        <v>0</v>
      </c>
      <c r="M91" s="51">
        <f>M90-K91-L91</f>
        <v>0</v>
      </c>
      <c r="N91" s="51">
        <f>J91-L91</f>
        <v>0</v>
      </c>
      <c r="O91" s="51">
        <f>MAX(0,O90-N91)</f>
        <v>0</v>
      </c>
      <c r="P91" s="51">
        <f>MAX(0,N91-O90)</f>
        <v>0</v>
      </c>
      <c r="Q91" s="51">
        <f>-P91*$B$28</f>
        <v>0</v>
      </c>
      <c r="R91" s="51">
        <f>J91+K91+Q91</f>
        <v>0</v>
      </c>
      <c r="S91" s="27">
        <f>1/(1+$B$25)^(A91-2026)</f>
        <v>0.1405628153554111</v>
      </c>
      <c r="T91" s="51">
        <f>T90+R91</f>
        <v>5232999.7577713514</v>
      </c>
      <c r="U91" s="51">
        <f>U90+R91*S91</f>
        <v>-2458845.9407694242</v>
      </c>
    </row>
    <row r="92" spans="1:21" ht="15" customHeight="1">
      <c r="A92" s="60">
        <v>2056</v>
      </c>
      <c r="B92" s="20">
        <f>IF(AND(A92&gt;=$B$26,A92&lt;$B$26+$B$23),1,0)</f>
        <v>0</v>
      </c>
      <c r="C92" s="27">
        <f>(1+$B$27)^(A92-2026)</f>
        <v>1.8113615841033535</v>
      </c>
      <c r="D92" s="51">
        <f>B92*$B$6*$B$12*C92</f>
        <v>0</v>
      </c>
      <c r="E92" s="51">
        <f>D92*$B$13</f>
        <v>0</v>
      </c>
      <c r="F92" s="51">
        <f>D92-E92</f>
        <v>0</v>
      </c>
      <c r="G92" s="51">
        <f>-D92*$B$19</f>
        <v>0</v>
      </c>
      <c r="H92" s="51">
        <f>-B92*($B$20*$B$6+$B$14*$B$7*$B$21+$B$14*$B$7*$B$15*$B$22)*C92</f>
        <v>0</v>
      </c>
      <c r="I92" s="51">
        <f>-B92*$B$18*$B$29*C92</f>
        <v>0</v>
      </c>
      <c r="J92" s="51">
        <f>D92+G92+H92+I92</f>
        <v>0</v>
      </c>
      <c r="K92" s="51">
        <f>-IF(A92=$B$26-1,$B$29*C92,0)</f>
        <v>0</v>
      </c>
      <c r="L92" s="51">
        <f>IF(B92=1,IF(A92=$B$26+$B$23-1,M91-K92,(M91-K92)*$B$24),0)</f>
        <v>0</v>
      </c>
      <c r="M92" s="51">
        <f>M91-K92-L92</f>
        <v>0</v>
      </c>
      <c r="N92" s="51">
        <f>J92-L92</f>
        <v>0</v>
      </c>
      <c r="O92" s="51">
        <f>MAX(0,O91-N92)</f>
        <v>0</v>
      </c>
      <c r="P92" s="51">
        <f>MAX(0,N92-O91)</f>
        <v>0</v>
      </c>
      <c r="Q92" s="51">
        <f>-P92*$B$28</f>
        <v>0</v>
      </c>
      <c r="R92" s="51">
        <f>J92+K92+Q92</f>
        <v>0</v>
      </c>
      <c r="S92" s="27">
        <f>1/(1+$B$25)^(A92-2026)</f>
        <v>0.13136711715458982</v>
      </c>
      <c r="T92" s="51">
        <f>T91+R92</f>
        <v>5232999.7577713514</v>
      </c>
      <c r="U92" s="51">
        <f>U91+R92*S92</f>
        <v>-2458845.9407694242</v>
      </c>
    </row>
    <row r="93" spans="1:21" ht="15" customHeight="1">
      <c r="A93" s="60">
        <v>2057</v>
      </c>
      <c r="B93" s="20">
        <f>IF(AND(A93&gt;=$B$26,A93&lt;$B$26+$B$23),1,0)</f>
        <v>0</v>
      </c>
      <c r="C93" s="27">
        <f>(1+$B$27)^(A93-2026)</f>
        <v>1.8475888157854201</v>
      </c>
      <c r="D93" s="51">
        <f>B93*$B$6*$B$12*C93</f>
        <v>0</v>
      </c>
      <c r="E93" s="51">
        <f>D93*$B$13</f>
        <v>0</v>
      </c>
      <c r="F93" s="51">
        <f>D93-E93</f>
        <v>0</v>
      </c>
      <c r="G93" s="51">
        <f>-D93*$B$19</f>
        <v>0</v>
      </c>
      <c r="H93" s="51">
        <f>-B93*($B$20*$B$6+$B$14*$B$7*$B$21+$B$14*$B$7*$B$15*$B$22)*C93</f>
        <v>0</v>
      </c>
      <c r="I93" s="51">
        <f>-B93*$B$18*$B$29*C93</f>
        <v>0</v>
      </c>
      <c r="J93" s="51">
        <f>D93+G93+H93+I93</f>
        <v>0</v>
      </c>
      <c r="K93" s="51">
        <f>-IF(A93=$B$26-1,$B$29*C93,0)</f>
        <v>0</v>
      </c>
      <c r="L93" s="51">
        <f>IF(B93=1,IF(A93=$B$26+$B$23-1,M92-K93,(M92-K93)*$B$24),0)</f>
        <v>0</v>
      </c>
      <c r="M93" s="51">
        <f>M92-K93-L93</f>
        <v>0</v>
      </c>
      <c r="N93" s="51">
        <f>J93-L93</f>
        <v>0</v>
      </c>
      <c r="O93" s="51">
        <f>MAX(0,O92-N93)</f>
        <v>0</v>
      </c>
      <c r="P93" s="51">
        <f>MAX(0,N93-O92)</f>
        <v>0</v>
      </c>
      <c r="Q93" s="51">
        <f>-P93*$B$28</f>
        <v>0</v>
      </c>
      <c r="R93" s="51">
        <f>J93+K93+Q93</f>
        <v>0</v>
      </c>
      <c r="S93" s="27">
        <f>1/(1+$B$25)^(A93-2026)</f>
        <v>0.1227730066865325</v>
      </c>
      <c r="T93" s="51">
        <f>T92+R93</f>
        <v>5232999.7577713514</v>
      </c>
      <c r="U93" s="51">
        <f>U92+R93*S93</f>
        <v>-2458845.9407694242</v>
      </c>
    </row>
    <row r="94" spans="1:21" ht="15" customHeight="1">
      <c r="A94" s="60">
        <v>2058</v>
      </c>
      <c r="B94" s="20">
        <f>IF(AND(A94&gt;=$B$26,A94&lt;$B$26+$B$23),1,0)</f>
        <v>0</v>
      </c>
      <c r="C94" s="27">
        <f>(1+$B$27)^(A94-2026)</f>
        <v>1.8845405921011289</v>
      </c>
      <c r="D94" s="51">
        <f>B94*$B$6*$B$12*C94</f>
        <v>0</v>
      </c>
      <c r="E94" s="51">
        <f>D94*$B$13</f>
        <v>0</v>
      </c>
      <c r="F94" s="51">
        <f>D94-E94</f>
        <v>0</v>
      </c>
      <c r="G94" s="51">
        <f>-D94*$B$19</f>
        <v>0</v>
      </c>
      <c r="H94" s="51">
        <f>-B94*($B$20*$B$6+$B$14*$B$7*$B$21+$B$14*$B$7*$B$15*$B$22)*C94</f>
        <v>0</v>
      </c>
      <c r="I94" s="51">
        <f>-B94*$B$18*$B$29*C94</f>
        <v>0</v>
      </c>
      <c r="J94" s="51">
        <f>D94+G94+H94+I94</f>
        <v>0</v>
      </c>
      <c r="K94" s="51">
        <f>-IF(A94=$B$26-1,$B$29*C94,0)</f>
        <v>0</v>
      </c>
      <c r="L94" s="51">
        <f>IF(B94=1,IF(A94=$B$26+$B$23-1,M93-K94,(M93-K94)*$B$24),0)</f>
        <v>0</v>
      </c>
      <c r="M94" s="51">
        <f>M93-K94-L94</f>
        <v>0</v>
      </c>
      <c r="N94" s="51">
        <f>J94-L94</f>
        <v>0</v>
      </c>
      <c r="O94" s="51">
        <f>MAX(0,O93-N94)</f>
        <v>0</v>
      </c>
      <c r="P94" s="51">
        <f>MAX(0,N94-O93)</f>
        <v>0</v>
      </c>
      <c r="Q94" s="51">
        <f>-P94*$B$28</f>
        <v>0</v>
      </c>
      <c r="R94" s="51">
        <f>J94+K94+Q94</f>
        <v>0</v>
      </c>
      <c r="S94" s="27">
        <f>1/(1+$B$25)^(A94-2026)</f>
        <v>0.11474112774442291</v>
      </c>
      <c r="T94" s="51">
        <f>T93+R94</f>
        <v>5232999.7577713514</v>
      </c>
      <c r="U94" s="51">
        <f>U93+R94*S94</f>
        <v>-2458845.9407694242</v>
      </c>
    </row>
  </sheetData>
  <mergeCells count="9">
    <mergeCell ref="A46:E46"/>
    <mergeCell ref="A48:E48"/>
    <mergeCell ref="A57:E57"/>
    <mergeCell ref="A60:U60"/>
    <mergeCell ref="A1:T1"/>
    <mergeCell ref="A2:T2"/>
    <mergeCell ref="A4:E4"/>
    <mergeCell ref="A31:E31"/>
    <mergeCell ref="A39:E39"/>
  </mergeCells>
  <dataValidations count="1">
    <dataValidation type="list" sqref="B8" xr:uid="{00000000-0002-0000-0900-000000000000}">
      <formula1>"Low,Base,High"</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7365D"/>
    <pageSetUpPr fitToPage="1"/>
  </sheetPr>
  <dimension ref="A1:I34"/>
  <sheetViews>
    <sheetView showGridLines="0" zoomScaleNormal="100" workbookViewId="0">
      <pane ySplit="3" topLeftCell="A4" activePane="bottomLeft" state="frozen"/>
      <selection pane="bottomLeft" activeCell="A28" sqref="A28"/>
    </sheetView>
  </sheetViews>
  <sheetFormatPr defaultColWidth="8.7109375" defaultRowHeight="15"/>
  <cols>
    <col min="1" max="1" width="31.7109375" style="1" customWidth="1"/>
    <col min="2" max="2" width="18" style="1" customWidth="1"/>
    <col min="3" max="3" width="14" style="1" customWidth="1"/>
    <col min="4" max="4" width="50" style="1" customWidth="1"/>
    <col min="5" max="9" width="18" style="1" customWidth="1"/>
  </cols>
  <sheetData>
    <row r="1" spans="1:9" ht="27.75" customHeight="1">
      <c r="A1" s="63" t="s">
        <v>477</v>
      </c>
      <c r="B1" s="63"/>
      <c r="C1" s="63"/>
      <c r="D1" s="63"/>
      <c r="E1" s="63"/>
      <c r="F1" s="63"/>
      <c r="G1" s="63"/>
      <c r="H1" s="63"/>
      <c r="I1" s="63"/>
    </row>
    <row r="3" spans="1:9" ht="19.5" customHeight="1">
      <c r="A3" s="64" t="s">
        <v>478</v>
      </c>
      <c r="B3" s="64"/>
      <c r="C3" s="64"/>
      <c r="D3" s="64"/>
      <c r="E3" s="64"/>
      <c r="F3" s="64"/>
      <c r="G3" s="64"/>
      <c r="H3" s="64"/>
      <c r="I3" s="64"/>
    </row>
    <row r="4" spans="1:9" ht="15" customHeight="1">
      <c r="A4" s="62" t="s">
        <v>314</v>
      </c>
      <c r="B4" s="62" t="s">
        <v>479</v>
      </c>
      <c r="C4" s="62" t="s">
        <v>6</v>
      </c>
      <c r="D4" s="62" t="s">
        <v>289</v>
      </c>
      <c r="F4" s="52" t="s">
        <v>480</v>
      </c>
      <c r="G4" s="53" t="str">
        <f>IF(COUNTIF(C5:C27,"ACTION")&gt;0,"ACTION REQUIRED",IF(COUNTIF(C5:C27,"INFO")&gt;0,"TEMPLATE / INFO","PASS"))</f>
        <v>TEMPLATE / INFO</v>
      </c>
    </row>
    <row r="5" spans="1:9" ht="15" customHeight="1">
      <c r="A5" s="60" t="s">
        <v>481</v>
      </c>
      <c r="B5" s="60" t="str">
        <f>IF(Inputs!B14="","MISSING","OK")</f>
        <v>OK</v>
      </c>
      <c r="C5" s="54" t="str">
        <f>IF(B5="OK","PASS",IF(OR(B5="MISSING",B5="ERROR"),"ACTION","INFO"))</f>
        <v>PASS</v>
      </c>
      <c r="D5" s="60" t="s">
        <v>482</v>
      </c>
    </row>
    <row r="6" spans="1:9" ht="15" customHeight="1">
      <c r="A6" s="60" t="s">
        <v>483</v>
      </c>
      <c r="B6" s="60" t="str">
        <f>IF(Inputs!B19="","MISSING","OK")</f>
        <v>OK</v>
      </c>
      <c r="C6" s="54" t="str">
        <f>IF(B6="OK","PASS",IF(OR(B6="MISSING",B6="ERROR"),"ACTION","INFO"))</f>
        <v>PASS</v>
      </c>
      <c r="D6" s="60" t="s">
        <v>484</v>
      </c>
    </row>
    <row r="7" spans="1:9" ht="27.75" customHeight="1">
      <c r="A7" s="60" t="s">
        <v>485</v>
      </c>
      <c r="B7" s="60" t="str">
        <f>IF(COUNT(Inputs!B68,Inputs!B70:B78)&lt;10,"MISSING","OK")</f>
        <v>OK</v>
      </c>
      <c r="C7" s="54" t="str">
        <f>IF(B7="OK","PASS",IF(OR(B7="MISSING",B7="ERROR"),"ACTION","INFO"))</f>
        <v>PASS</v>
      </c>
      <c r="D7" s="60" t="s">
        <v>486</v>
      </c>
    </row>
    <row r="8" spans="1:9" ht="15" customHeight="1">
      <c r="A8" s="60" t="s">
        <v>487</v>
      </c>
      <c r="B8" s="60" t="str">
        <f>IF(COUNT(Inputs!B79:B81)&lt;3,"MISSING","OK")</f>
        <v>OK</v>
      </c>
      <c r="C8" s="54" t="str">
        <f>IF(B8="OK","PASS",IF(OR(B8="MISSING",B8="ERROR"),"ACTION","INFO"))</f>
        <v>PASS</v>
      </c>
      <c r="D8" s="60" t="s">
        <v>488</v>
      </c>
    </row>
    <row r="9" spans="1:9" ht="15" customHeight="1">
      <c r="A9" s="60" t="s">
        <v>489</v>
      </c>
      <c r="B9" s="60" t="str">
        <f>IF(Inputs!B29="","MISSING","OK")</f>
        <v>OK</v>
      </c>
      <c r="C9" s="54" t="str">
        <f>IF(B9="OK","PASS",IF(OR(B9="MISSING",B9="ERROR"),"ACTION","INFO"))</f>
        <v>PASS</v>
      </c>
      <c r="D9" s="60" t="s">
        <v>490</v>
      </c>
    </row>
    <row r="10" spans="1:9" ht="27.75" customHeight="1">
      <c r="A10" s="60" t="s">
        <v>491</v>
      </c>
      <c r="B10" s="60" t="str">
        <f>IF(Financing!B8=0,"INFO",IF(ABS(Financing!H46)&lt;1,"OK","ERROR"))</f>
        <v>OK</v>
      </c>
      <c r="C10" s="54" t="str">
        <f>IF(B10="OK","PASS",IF(OR(B10="MISSING",B10="ERROR"),"ACTION","INFO"))</f>
        <v>PASS</v>
      </c>
      <c r="D10" s="60" t="s">
        <v>492</v>
      </c>
    </row>
    <row r="11" spans="1:9" ht="27.75" customHeight="1">
      <c r="A11" s="60" t="s">
        <v>493</v>
      </c>
      <c r="B11" s="60" t="str">
        <f>IF(ISNUMBER(Outputs!I10),"OK","MISSING")</f>
        <v>OK</v>
      </c>
      <c r="C11" s="54" t="str">
        <f>IF(B11="OK","PASS",IF(OR(B11="MISSING",B11="ERROR"),"ACTION","INFO"))</f>
        <v>PASS</v>
      </c>
      <c r="D11" s="60" t="s">
        <v>494</v>
      </c>
    </row>
    <row r="12" spans="1:9" ht="27.75" customHeight="1">
      <c r="A12" s="60" t="s">
        <v>495</v>
      </c>
      <c r="B12" s="60" t="str">
        <f>IF(AND(Inputs!B9&gt;=Production!A5+1,Inputs!B9+Inputs!B8-1&lt;=Production!A37),"OK","ERROR")</f>
        <v>OK</v>
      </c>
      <c r="C12" s="54" t="str">
        <f>IF(B12="OK","PASS",IF(OR(B12="MISSING",B12="ERROR"),"ACTION","INFO"))</f>
        <v>PASS</v>
      </c>
      <c r="D12" s="60" t="s">
        <v>496</v>
      </c>
    </row>
    <row r="13" spans="1:9" ht="27.75" customHeight="1">
      <c r="A13" s="60" t="s">
        <v>497</v>
      </c>
      <c r="B13" s="60" t="str">
        <f>IF(ABS(SUM(Revenue!B5:B37)-SUM(Production!J5:J37))&lt;1,"OK","ERROR")</f>
        <v>OK</v>
      </c>
      <c r="C13" s="54" t="str">
        <f>IF(B13="OK","PASS",IF(OR(B13="MISSING",B13="ERROR"),"ACTION","INFO"))</f>
        <v>PASS</v>
      </c>
      <c r="D13" s="60" t="s">
        <v>498</v>
      </c>
    </row>
    <row r="14" spans="1:9" ht="19.5" customHeight="1">
      <c r="A14" s="60" t="s">
        <v>499</v>
      </c>
      <c r="B14" s="60" t="str">
        <f>IF(ABS(Financing!B8+Financing!B9-Financing!G5)&lt;1,"OK","ERROR")</f>
        <v>OK</v>
      </c>
      <c r="C14" s="54" t="str">
        <f>IF(B14="OK","PASS",IF(OR(B14="MISSING",B14="ERROR"),"ACTION","INFO"))</f>
        <v>PASS</v>
      </c>
      <c r="D14" s="60" t="s">
        <v>500</v>
      </c>
    </row>
    <row r="15" spans="1:9" ht="15" customHeight="1">
      <c r="A15" s="60" t="s">
        <v>501</v>
      </c>
      <c r="B15" s="60" t="str">
        <f>IF(COUNT(Financing!I14:I46)=0,"INFO",IF(MIN(Financing!I14:I46)&gt;=Inputs!B32-0.0001,"OK","ERROR"))</f>
        <v>OK</v>
      </c>
      <c r="C15" s="54" t="str">
        <f>IF(B15="OK","PASS",IF(OR(B15="MISSING",B15="ERROR"),"ACTION","INFO"))</f>
        <v>PASS</v>
      </c>
      <c r="D15" s="60" t="s">
        <v>502</v>
      </c>
    </row>
    <row r="16" spans="1:9" ht="27.75" customHeight="1">
      <c r="A16" s="60" t="s">
        <v>503</v>
      </c>
      <c r="B16" s="60" t="str">
        <f>IF(COUNTIF(Financing!F14:F46,"&lt;-0.5")=0,"OK","ERROR")</f>
        <v>OK</v>
      </c>
      <c r="C16" s="54" t="str">
        <f>IF(B16="OK","PASS",IF(OR(B16="MISSING",B16="ERROR"),"ACTION","INFO"))</f>
        <v>PASS</v>
      </c>
      <c r="D16" s="60" t="s">
        <v>504</v>
      </c>
    </row>
    <row r="17" spans="1:9" ht="27.75" customHeight="1">
      <c r="A17" s="60" t="s">
        <v>505</v>
      </c>
      <c r="B17" s="60" t="str">
        <f>IF(MIN(Inputs!B34,Inputs!B35)&lt;=Inputs!B8,"OK","ERROR")</f>
        <v>OK</v>
      </c>
      <c r="C17" s="54" t="str">
        <f>IF(B17="OK","PASS",IF(OR(B17="MISSING",B17="ERROR"),"ACTION","INFO"))</f>
        <v>PASS</v>
      </c>
      <c r="D17" s="60" t="s">
        <v>506</v>
      </c>
    </row>
    <row r="18" spans="1:9" ht="15" customHeight="1">
      <c r="A18" s="60" t="s">
        <v>507</v>
      </c>
      <c r="B18" s="60" t="str">
        <f>IF(COUNT(Prices!C8:E40)=0,"INFO",IF(AND(MIN(Prices!C8:E40)&gt;=0,MAX(Prices!C8:E40)&lt;=1.5),"OK","ERROR"))</f>
        <v>OK</v>
      </c>
      <c r="C18" s="54" t="str">
        <f>IF(B18="OK","PASS",IF(OR(B18="MISSING",B18="ERROR"),"ACTION","INFO"))</f>
        <v>PASS</v>
      </c>
      <c r="D18" s="60" t="s">
        <v>508</v>
      </c>
    </row>
    <row r="19" spans="1:9" ht="15" customHeight="1">
      <c r="A19" s="60" t="s">
        <v>509</v>
      </c>
      <c r="B19" s="60" t="str">
        <f>IF(Cover!B15="Yes",IF(Inputs!B40="","MISSING","OK"),"OK")</f>
        <v>OK</v>
      </c>
      <c r="C19" s="54" t="str">
        <f>IF(B19="OK","PASS",IF(OR(B19="MISSING",B19="ERROR"),"ACTION","INFO"))</f>
        <v>PASS</v>
      </c>
      <c r="D19" s="60" t="s">
        <v>510</v>
      </c>
    </row>
    <row r="20" spans="1:9" ht="27.75" customHeight="1">
      <c r="A20" s="60" t="s">
        <v>511</v>
      </c>
      <c r="B20" s="60" t="str">
        <f>IF(Inputs!B24=0,"OK",IF(OR(Inputs!B47=0,Inputs!B15=""),"MISSING","OK"))</f>
        <v>OK</v>
      </c>
      <c r="C20" s="54" t="str">
        <f>IF(B20="OK","PASS",IF(OR(B20="MISSING",B20="ERROR"),"ACTION","INFO"))</f>
        <v>PASS</v>
      </c>
      <c r="D20" s="60" t="s">
        <v>512</v>
      </c>
    </row>
    <row r="21" spans="1:9" ht="27.75" customHeight="1">
      <c r="A21" s="60" t="s">
        <v>513</v>
      </c>
      <c r="B21" s="60" t="str">
        <f>IF(Taxes!I37&gt;0.5,"INFO","OK")</f>
        <v>OK</v>
      </c>
      <c r="C21" s="54" t="str">
        <f>IF(B21="OK","PASS",IF(OR(B21="MISSING",B21="ERROR"),"ACTION","INFO"))</f>
        <v>PASS</v>
      </c>
      <c r="D21" s="60" t="s">
        <v>514</v>
      </c>
    </row>
    <row r="22" spans="1:9" ht="27.75" customHeight="1">
      <c r="A22" s="60" t="s">
        <v>515</v>
      </c>
      <c r="B22" s="60" t="str">
        <f>IF(COUNTIF(Inputs!E7:E90,"to verify")=0,"OK","INFO")</f>
        <v>OK</v>
      </c>
      <c r="C22" s="54" t="str">
        <f>IF(B22="OK","PASS",IF(OR(B22="MISSING",B22="ERROR"),"ACTION","INFO"))</f>
        <v>PASS</v>
      </c>
      <c r="D22" s="60" t="str">
        <f>"Open items: "&amp;COUNTIF(Inputs!E7:E90,"to verify")&amp;" parameters still marked to verify (Inputs!E)."</f>
        <v>Open items: 0 parameters still marked to verify (Inputs!E).</v>
      </c>
    </row>
    <row r="23" spans="1:9" ht="27.75" customHeight="1">
      <c r="A23" s="60" t="s">
        <v>516</v>
      </c>
      <c r="B23" s="60" t="str">
        <f>IF(NOT(ISNUMBER(Outputs!E6)),"INFO",IF(Outputs!E6&gt;=Inputs!B39,"OK","INFO"))</f>
        <v>INFO</v>
      </c>
      <c r="C23" s="54" t="str">
        <f>IF(B23="OK","PASS",IF(OR(B23="MISSING",B23="ERROR"),"ACTION","INFO"))</f>
        <v>INFO</v>
      </c>
      <c r="D23" s="60" t="s">
        <v>517</v>
      </c>
    </row>
    <row r="24" spans="1:9" ht="27.75" customHeight="1">
      <c r="A24" s="60" t="s">
        <v>518</v>
      </c>
      <c r="B24" s="60" t="str">
        <f>IF(Inputs!B63="","MISSING","OK")</f>
        <v>OK</v>
      </c>
      <c r="C24" s="54" t="str">
        <f>IF(B24="OK","PASS",IF(OR(B24="MISSING",B24="ERROR"),"ACTION","INFO"))</f>
        <v>PASS</v>
      </c>
      <c r="D24" s="60" t="s">
        <v>519</v>
      </c>
    </row>
    <row r="25" spans="1:9" ht="45" customHeight="1">
      <c r="A25" s="60" t="s">
        <v>520</v>
      </c>
      <c r="B25" s="60" t="str">
        <f>IF(AND(Cover!B15="Yes",Cover!B16="Base",Cover!B17="Base",Inputs!B40=50,Inputs!B43=1,Inputs!B32=1.3,Inputs!B38=0.06),IF(ABS(Outputs!I6-Outputs!H17)&lt;2,"OK","STALE"),"N/A")</f>
        <v>OK</v>
      </c>
      <c r="C25" s="54" t="str">
        <f>IF(B25="OK","PASS",IF(B25="STALE","ACTION","INFO"))</f>
        <v>PASS</v>
      </c>
      <c r="D25" s="61" t="s">
        <v>521</v>
      </c>
    </row>
    <row r="26" spans="1:9" ht="45" customHeight="1">
      <c r="A26" s="60" t="s">
        <v>522</v>
      </c>
      <c r="B26" s="60" t="str">
        <f>IF(AND(Cover!B15="No",Cover!B16="Base",Cover!B17="Base",Inputs!B32=1.6,Inputs!B38=0.07),IF(ABS(Outputs!I6-Outputs!H24)&lt;2,"OK","STALE"),"N/A")</f>
        <v>N/A</v>
      </c>
      <c r="C26" s="54" t="str">
        <f>IF(B26="OK","PASS",IF(B26="STALE","ACTION","INFO"))</f>
        <v>INFO</v>
      </c>
      <c r="D26" s="61" t="s">
        <v>523</v>
      </c>
    </row>
    <row r="27" spans="1:9" ht="45" customHeight="1">
      <c r="A27" s="60" t="s">
        <v>524</v>
      </c>
      <c r="B27" s="60" t="str">
        <f>IF(AND(BESS!B8="Base",BESS!B10=65000,BESS!B17=0),IF(ABS(BESS!B33-BESS!C42)&lt;2,"OK","STALE"),"N/A")</f>
        <v>OK</v>
      </c>
      <c r="C27" s="54" t="str">
        <f>IF(B27="OK","PASS",IF(B27="STALE","ACTION","INFO"))</f>
        <v>PASS</v>
      </c>
      <c r="D27" s="61" t="s">
        <v>525</v>
      </c>
    </row>
    <row r="28" spans="1:9" ht="15" customHeight="1"/>
    <row r="29" spans="1:9" ht="15" customHeight="1"/>
    <row r="30" spans="1:9" ht="15" customHeight="1">
      <c r="A30" s="64" t="s">
        <v>526</v>
      </c>
      <c r="B30" s="64"/>
      <c r="C30" s="64"/>
      <c r="D30" s="64"/>
      <c r="E30" s="64"/>
      <c r="F30" s="64"/>
      <c r="G30" s="64"/>
      <c r="H30" s="64"/>
      <c r="I30" s="64"/>
    </row>
    <row r="31" spans="1:9" ht="15" customHeight="1">
      <c r="A31" s="5" t="s">
        <v>527</v>
      </c>
    </row>
    <row r="32" spans="1:9" ht="15" customHeight="1">
      <c r="A32" s="4" t="s">
        <v>528</v>
      </c>
    </row>
    <row r="33" spans="1:1" ht="15" customHeight="1">
      <c r="A33" s="2" t="s">
        <v>529</v>
      </c>
    </row>
    <row r="34" spans="1:1" ht="15" customHeight="1">
      <c r="A34" s="24" t="s">
        <v>530</v>
      </c>
    </row>
  </sheetData>
  <mergeCells count="3">
    <mergeCell ref="A1:I1"/>
    <mergeCell ref="A3:I3"/>
    <mergeCell ref="A30:I30"/>
  </mergeCells>
  <conditionalFormatting sqref="C5:C27">
    <cfRule type="cellIs" dxfId="1" priority="2" operator="equal">
      <formula>"PASS"</formula>
    </cfRule>
    <cfRule type="cellIs" dxfId="0" priority="3" operator="equal">
      <formula>"ACTION"</formula>
    </cfRule>
  </conditionalFormatting>
  <pageMargins left="0.75" right="0.75" top="1" bottom="1" header="0.511811023622047" footer="0.5"/>
  <pageSetup fitToHeight="0" orientation="portrait" horizontalDpi="300" verticalDpi="300"/>
  <headerFooter>
    <oddFooter>&amp;CFinnish Onshore Wind Project Finance Model&amp;RPage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9"/>
  <sheetViews>
    <sheetView showGridLines="0" zoomScaleNormal="100" workbookViewId="0">
      <pane ySplit="5" topLeftCell="A19" activePane="bottomLeft" state="frozen"/>
      <selection pane="bottomLeft" activeCell="H20" sqref="H20"/>
    </sheetView>
  </sheetViews>
  <sheetFormatPr defaultColWidth="8.7109375" defaultRowHeight="15"/>
  <cols>
    <col min="1" max="1" width="6" style="1" customWidth="1"/>
    <col min="2" max="2" width="26" style="1" customWidth="1"/>
    <col min="3" max="3" width="50" style="1" customWidth="1"/>
    <col min="4" max="4" width="34" style="1" customWidth="1"/>
    <col min="5" max="5" width="44" style="1" customWidth="1"/>
    <col min="6" max="6" width="52" style="1" customWidth="1"/>
    <col min="7" max="7" width="16" style="1" customWidth="1"/>
  </cols>
  <sheetData>
    <row r="1" spans="1:7" ht="20.25" customHeight="1">
      <c r="A1" s="63" t="s">
        <v>531</v>
      </c>
      <c r="B1" s="63"/>
      <c r="C1" s="63"/>
      <c r="D1" s="63"/>
      <c r="E1" s="63"/>
      <c r="F1" s="63"/>
      <c r="G1" s="63"/>
    </row>
    <row r="2" spans="1:7" ht="30" customHeight="1">
      <c r="A2" s="77" t="s">
        <v>532</v>
      </c>
      <c r="B2" s="77"/>
      <c r="C2" s="77"/>
      <c r="D2" s="77"/>
      <c r="E2" s="77"/>
      <c r="F2" s="77"/>
      <c r="G2" s="77"/>
    </row>
    <row r="4" spans="1:7" ht="19.5" customHeight="1">
      <c r="A4" s="64" t="s">
        <v>533</v>
      </c>
      <c r="B4" s="64"/>
      <c r="C4" s="64"/>
      <c r="D4" s="64"/>
      <c r="E4" s="64"/>
      <c r="F4" s="64"/>
      <c r="G4" s="64"/>
    </row>
    <row r="5" spans="1:7" ht="27.75" customHeight="1">
      <c r="A5" s="62" t="s">
        <v>534</v>
      </c>
      <c r="B5" s="62" t="s">
        <v>314</v>
      </c>
      <c r="C5" s="62" t="s">
        <v>535</v>
      </c>
      <c r="D5" s="62" t="s">
        <v>479</v>
      </c>
      <c r="E5" s="62" t="s">
        <v>536</v>
      </c>
      <c r="F5" s="62" t="s">
        <v>537</v>
      </c>
      <c r="G5" s="62" t="s">
        <v>6</v>
      </c>
    </row>
    <row r="6" spans="1:7" ht="45" customHeight="1">
      <c r="A6" s="55">
        <v>1</v>
      </c>
      <c r="B6" s="61" t="s">
        <v>538</v>
      </c>
      <c r="C6" s="61" t="s">
        <v>539</v>
      </c>
      <c r="D6" s="61" t="s">
        <v>540</v>
      </c>
      <c r="E6" s="61" t="s">
        <v>541</v>
      </c>
      <c r="F6" s="61" t="s">
        <v>542</v>
      </c>
      <c r="G6" s="56" t="s">
        <v>63</v>
      </c>
    </row>
    <row r="7" spans="1:7" ht="30" customHeight="1">
      <c r="A7" s="55">
        <v>2</v>
      </c>
      <c r="B7" s="61" t="s">
        <v>543</v>
      </c>
      <c r="C7" s="61" t="s">
        <v>544</v>
      </c>
      <c r="D7" s="61" t="s">
        <v>545</v>
      </c>
      <c r="E7" s="61" t="s">
        <v>546</v>
      </c>
      <c r="F7" s="61" t="s">
        <v>547</v>
      </c>
      <c r="G7" s="56" t="s">
        <v>63</v>
      </c>
    </row>
    <row r="8" spans="1:7" ht="45" customHeight="1">
      <c r="A8" s="55">
        <v>3</v>
      </c>
      <c r="B8" s="61" t="s">
        <v>548</v>
      </c>
      <c r="C8" s="61" t="s">
        <v>549</v>
      </c>
      <c r="D8" s="61" t="s">
        <v>550</v>
      </c>
      <c r="E8" s="61" t="s">
        <v>551</v>
      </c>
      <c r="F8" s="61" t="s">
        <v>552</v>
      </c>
      <c r="G8" s="56" t="s">
        <v>63</v>
      </c>
    </row>
    <row r="9" spans="1:7" ht="45" customHeight="1">
      <c r="A9" s="55">
        <v>4</v>
      </c>
      <c r="B9" s="61" t="s">
        <v>553</v>
      </c>
      <c r="C9" s="61" t="s">
        <v>554</v>
      </c>
      <c r="D9" s="61" t="s">
        <v>555</v>
      </c>
      <c r="E9" s="61" t="s">
        <v>556</v>
      </c>
      <c r="F9" s="61" t="s">
        <v>557</v>
      </c>
      <c r="G9" s="56" t="s">
        <v>63</v>
      </c>
    </row>
    <row r="10" spans="1:7" ht="75" customHeight="1">
      <c r="A10" s="55">
        <v>5</v>
      </c>
      <c r="B10" s="61" t="s">
        <v>558</v>
      </c>
      <c r="C10" s="61" t="s">
        <v>559</v>
      </c>
      <c r="D10" s="61" t="s">
        <v>560</v>
      </c>
      <c r="E10" s="61" t="s">
        <v>561</v>
      </c>
      <c r="F10" s="61" t="s">
        <v>562</v>
      </c>
      <c r="G10" s="56" t="s">
        <v>113</v>
      </c>
    </row>
    <row r="11" spans="1:7" ht="45" customHeight="1">
      <c r="A11" s="55">
        <v>6</v>
      </c>
      <c r="B11" s="61" t="s">
        <v>563</v>
      </c>
      <c r="C11" s="61" t="s">
        <v>564</v>
      </c>
      <c r="D11" s="61" t="s">
        <v>565</v>
      </c>
      <c r="E11" s="61" t="s">
        <v>566</v>
      </c>
      <c r="F11" s="61" t="s">
        <v>567</v>
      </c>
      <c r="G11" s="57" t="s">
        <v>60</v>
      </c>
    </row>
    <row r="12" spans="1:7" ht="45" customHeight="1">
      <c r="A12" s="55">
        <v>7</v>
      </c>
      <c r="B12" s="61" t="s">
        <v>568</v>
      </c>
      <c r="C12" s="61" t="s">
        <v>569</v>
      </c>
      <c r="D12" s="61" t="s">
        <v>570</v>
      </c>
      <c r="E12" s="61" t="s">
        <v>571</v>
      </c>
      <c r="F12" s="61" t="s">
        <v>572</v>
      </c>
      <c r="G12" s="56" t="s">
        <v>63</v>
      </c>
    </row>
    <row r="13" spans="1:7" ht="60" customHeight="1">
      <c r="A13" s="55">
        <v>8</v>
      </c>
      <c r="B13" s="61" t="s">
        <v>573</v>
      </c>
      <c r="C13" s="61" t="s">
        <v>574</v>
      </c>
      <c r="D13" s="61" t="s">
        <v>575</v>
      </c>
      <c r="E13" s="61" t="s">
        <v>576</v>
      </c>
      <c r="F13" s="61" t="s">
        <v>577</v>
      </c>
      <c r="G13" s="56" t="s">
        <v>63</v>
      </c>
    </row>
    <row r="14" spans="1:7" ht="75" customHeight="1">
      <c r="A14" s="55">
        <v>9</v>
      </c>
      <c r="B14" s="61" t="s">
        <v>578</v>
      </c>
      <c r="C14" s="61" t="s">
        <v>579</v>
      </c>
      <c r="D14" s="61" t="s">
        <v>580</v>
      </c>
      <c r="E14" s="61" t="s">
        <v>581</v>
      </c>
      <c r="F14" s="61" t="s">
        <v>582</v>
      </c>
      <c r="G14" s="57" t="s">
        <v>60</v>
      </c>
    </row>
    <row r="15" spans="1:7" ht="30" customHeight="1">
      <c r="A15" s="55">
        <v>10</v>
      </c>
      <c r="B15" s="61" t="s">
        <v>583</v>
      </c>
      <c r="C15" s="61" t="s">
        <v>584</v>
      </c>
      <c r="D15" s="61" t="s">
        <v>585</v>
      </c>
      <c r="E15" s="61" t="s">
        <v>586</v>
      </c>
      <c r="F15" s="61" t="s">
        <v>587</v>
      </c>
      <c r="G15" s="56" t="s">
        <v>113</v>
      </c>
    </row>
    <row r="16" spans="1:7" ht="60" customHeight="1">
      <c r="A16" s="55">
        <v>11</v>
      </c>
      <c r="B16" s="61" t="s">
        <v>588</v>
      </c>
      <c r="C16" s="61" t="s">
        <v>589</v>
      </c>
      <c r="D16" s="61" t="s">
        <v>590</v>
      </c>
      <c r="E16" s="61" t="s">
        <v>591</v>
      </c>
      <c r="F16" s="61" t="s">
        <v>592</v>
      </c>
      <c r="G16" s="56" t="s">
        <v>113</v>
      </c>
    </row>
    <row r="17" spans="1:7" ht="60" customHeight="1">
      <c r="A17" s="55">
        <v>12</v>
      </c>
      <c r="B17" s="61" t="s">
        <v>593</v>
      </c>
      <c r="C17" s="61" t="s">
        <v>594</v>
      </c>
      <c r="D17" s="61" t="s">
        <v>595</v>
      </c>
      <c r="E17" s="61" t="s">
        <v>596</v>
      </c>
      <c r="F17" s="61" t="s">
        <v>597</v>
      </c>
      <c r="G17" s="56" t="s">
        <v>113</v>
      </c>
    </row>
    <row r="18" spans="1:7" ht="30" customHeight="1">
      <c r="A18" s="55">
        <v>13</v>
      </c>
      <c r="B18" s="61" t="s">
        <v>598</v>
      </c>
      <c r="C18" s="61" t="s">
        <v>599</v>
      </c>
      <c r="D18" s="61" t="s">
        <v>600</v>
      </c>
      <c r="E18" s="61" t="s">
        <v>601</v>
      </c>
      <c r="F18" s="61" t="s">
        <v>592</v>
      </c>
      <c r="G18" s="56" t="s">
        <v>113</v>
      </c>
    </row>
    <row r="19" spans="1:7" ht="105" customHeight="1">
      <c r="A19" s="55">
        <v>14</v>
      </c>
      <c r="B19" s="61" t="s">
        <v>602</v>
      </c>
      <c r="C19" s="61" t="s">
        <v>603</v>
      </c>
      <c r="D19" s="61" t="s">
        <v>604</v>
      </c>
      <c r="E19" s="61" t="s">
        <v>605</v>
      </c>
      <c r="F19" s="61" t="s">
        <v>606</v>
      </c>
      <c r="G19" s="56" t="s">
        <v>113</v>
      </c>
    </row>
    <row r="20" spans="1:7" ht="105" customHeight="1">
      <c r="A20" s="55">
        <v>15</v>
      </c>
      <c r="B20" s="61" t="s">
        <v>607</v>
      </c>
      <c r="C20" s="61" t="s">
        <v>608</v>
      </c>
      <c r="D20" s="61" t="s">
        <v>609</v>
      </c>
      <c r="E20" s="61" t="s">
        <v>610</v>
      </c>
      <c r="F20" s="61" t="s">
        <v>611</v>
      </c>
      <c r="G20" s="56" t="s">
        <v>113</v>
      </c>
    </row>
    <row r="21" spans="1:7" ht="105" customHeight="1">
      <c r="A21" s="55">
        <v>16</v>
      </c>
      <c r="B21" s="61" t="s">
        <v>612</v>
      </c>
      <c r="C21" s="61" t="s">
        <v>613</v>
      </c>
      <c r="D21" s="61" t="s">
        <v>614</v>
      </c>
      <c r="E21" s="61" t="s">
        <v>615</v>
      </c>
      <c r="F21" s="61" t="s">
        <v>611</v>
      </c>
      <c r="G21" s="56" t="s">
        <v>113</v>
      </c>
    </row>
    <row r="23" spans="1:7" ht="19.5" customHeight="1">
      <c r="A23" s="64" t="s">
        <v>616</v>
      </c>
      <c r="B23" s="64"/>
      <c r="C23" s="64"/>
      <c r="D23" s="64"/>
      <c r="E23" s="64"/>
      <c r="F23" s="64"/>
      <c r="G23" s="64"/>
    </row>
    <row r="24" spans="1:7" ht="27.75" customHeight="1">
      <c r="A24" s="62" t="s">
        <v>534</v>
      </c>
      <c r="B24" s="62" t="s">
        <v>617</v>
      </c>
      <c r="C24" s="62" t="s">
        <v>618</v>
      </c>
      <c r="D24" s="62" t="s">
        <v>619</v>
      </c>
      <c r="E24" s="78" t="s">
        <v>620</v>
      </c>
      <c r="F24" s="78"/>
      <c r="G24" s="78"/>
    </row>
    <row r="25" spans="1:7" ht="60" customHeight="1">
      <c r="A25" s="55" t="s">
        <v>621</v>
      </c>
      <c r="B25" s="61" t="s">
        <v>622</v>
      </c>
      <c r="C25" s="61" t="s">
        <v>623</v>
      </c>
      <c r="D25" s="61" t="s">
        <v>624</v>
      </c>
      <c r="E25" s="79" t="s">
        <v>625</v>
      </c>
      <c r="F25" s="79"/>
      <c r="G25" s="79"/>
    </row>
    <row r="26" spans="1:7" ht="75" customHeight="1">
      <c r="A26" s="55" t="s">
        <v>626</v>
      </c>
      <c r="B26" s="61" t="s">
        <v>627</v>
      </c>
      <c r="C26" s="61" t="s">
        <v>628</v>
      </c>
      <c r="D26" s="61" t="s">
        <v>629</v>
      </c>
      <c r="E26" s="79" t="s">
        <v>630</v>
      </c>
      <c r="F26" s="79"/>
      <c r="G26" s="79"/>
    </row>
    <row r="27" spans="1:7" ht="30" customHeight="1">
      <c r="A27" s="55" t="s">
        <v>631</v>
      </c>
      <c r="B27" s="61" t="s">
        <v>632</v>
      </c>
      <c r="C27" s="61" t="s">
        <v>633</v>
      </c>
      <c r="D27" s="61" t="s">
        <v>634</v>
      </c>
      <c r="E27" s="79" t="s">
        <v>635</v>
      </c>
      <c r="F27" s="79"/>
      <c r="G27" s="79"/>
    </row>
    <row r="28" spans="1:7" ht="90" customHeight="1">
      <c r="A28" s="55" t="s">
        <v>636</v>
      </c>
      <c r="B28" s="61" t="s">
        <v>637</v>
      </c>
      <c r="C28" s="61" t="s">
        <v>638</v>
      </c>
      <c r="D28" s="61" t="s">
        <v>639</v>
      </c>
      <c r="E28" s="79" t="s">
        <v>640</v>
      </c>
      <c r="F28" s="79"/>
      <c r="G28" s="79"/>
    </row>
    <row r="29" spans="1:7" ht="30" customHeight="1">
      <c r="A29" s="55" t="s">
        <v>641</v>
      </c>
      <c r="B29" s="61" t="s">
        <v>642</v>
      </c>
      <c r="C29" s="61" t="s">
        <v>643</v>
      </c>
      <c r="D29" s="61" t="s">
        <v>644</v>
      </c>
      <c r="E29" s="79" t="s">
        <v>630</v>
      </c>
      <c r="F29" s="79"/>
      <c r="G29" s="79"/>
    </row>
  </sheetData>
  <mergeCells count="10">
    <mergeCell ref="E25:G25"/>
    <mergeCell ref="E26:G26"/>
    <mergeCell ref="E27:G27"/>
    <mergeCell ref="E28:G28"/>
    <mergeCell ref="E29:G29"/>
    <mergeCell ref="A1:G1"/>
    <mergeCell ref="A2:G2"/>
    <mergeCell ref="A4:G4"/>
    <mergeCell ref="A23:G23"/>
    <mergeCell ref="E24:G24"/>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1"/>
  <sheetViews>
    <sheetView zoomScaleNormal="100" workbookViewId="0">
      <pane ySplit="3" topLeftCell="A4" activePane="bottomLeft" state="frozen"/>
      <selection pane="bottomLeft" activeCell="C43" sqref="C43"/>
    </sheetView>
  </sheetViews>
  <sheetFormatPr defaultColWidth="8.7109375" defaultRowHeight="15"/>
  <cols>
    <col min="1" max="1" width="8" style="1" customWidth="1"/>
    <col min="2" max="2" width="28" style="1" customWidth="1"/>
    <col min="3" max="4" width="70" style="1" customWidth="1"/>
  </cols>
  <sheetData>
    <row r="1" spans="1:4" ht="20.25" customHeight="1">
      <c r="A1" s="63" t="s">
        <v>645</v>
      </c>
      <c r="B1" s="63"/>
      <c r="C1" s="63"/>
      <c r="D1" s="63"/>
    </row>
    <row r="3" spans="1:4" ht="15" customHeight="1">
      <c r="A3" s="58" t="s">
        <v>534</v>
      </c>
      <c r="B3" s="58" t="s">
        <v>646</v>
      </c>
      <c r="C3" s="58" t="s">
        <v>647</v>
      </c>
      <c r="D3" s="58" t="s">
        <v>648</v>
      </c>
    </row>
    <row r="4" spans="1:4" ht="27.75" customHeight="1">
      <c r="A4" s="58">
        <v>1</v>
      </c>
      <c r="B4" s="58" t="s">
        <v>649</v>
      </c>
      <c r="C4" s="58" t="s">
        <v>650</v>
      </c>
      <c r="D4" s="58" t="s">
        <v>651</v>
      </c>
    </row>
    <row r="5" spans="1:4" ht="15" customHeight="1">
      <c r="A5" s="58">
        <v>2</v>
      </c>
      <c r="B5" s="58" t="s">
        <v>652</v>
      </c>
      <c r="C5" s="58" t="s">
        <v>653</v>
      </c>
      <c r="D5" s="58" t="s">
        <v>654</v>
      </c>
    </row>
    <row r="6" spans="1:4" ht="27.75" customHeight="1">
      <c r="A6" s="58">
        <v>3</v>
      </c>
      <c r="B6" s="58" t="s">
        <v>655</v>
      </c>
      <c r="C6" s="58" t="s">
        <v>656</v>
      </c>
      <c r="D6" s="58" t="s">
        <v>657</v>
      </c>
    </row>
    <row r="7" spans="1:4" ht="15" customHeight="1">
      <c r="A7" s="58">
        <v>4</v>
      </c>
      <c r="B7" s="58" t="s">
        <v>658</v>
      </c>
      <c r="C7" s="58" t="s">
        <v>659</v>
      </c>
      <c r="D7" s="58" t="s">
        <v>660</v>
      </c>
    </row>
    <row r="8" spans="1:4" ht="27.75" customHeight="1">
      <c r="A8" s="58">
        <v>5</v>
      </c>
      <c r="B8" s="58" t="s">
        <v>661</v>
      </c>
      <c r="C8" s="58" t="s">
        <v>662</v>
      </c>
      <c r="D8" s="58" t="s">
        <v>663</v>
      </c>
    </row>
    <row r="9" spans="1:4" ht="41.25" customHeight="1">
      <c r="A9" s="58">
        <v>6</v>
      </c>
      <c r="B9" s="58" t="s">
        <v>664</v>
      </c>
      <c r="C9" s="58" t="s">
        <v>665</v>
      </c>
      <c r="D9" s="58" t="s">
        <v>666</v>
      </c>
    </row>
    <row r="10" spans="1:4" ht="15" customHeight="1">
      <c r="A10" s="58">
        <v>7</v>
      </c>
      <c r="B10" s="58" t="s">
        <v>667</v>
      </c>
      <c r="C10" s="58" t="s">
        <v>668</v>
      </c>
      <c r="D10" s="58" t="s">
        <v>669</v>
      </c>
    </row>
    <row r="11" spans="1:4" ht="27.75" customHeight="1">
      <c r="A11" s="58">
        <v>8</v>
      </c>
      <c r="B11" s="58" t="s">
        <v>670</v>
      </c>
      <c r="C11" s="58" t="s">
        <v>671</v>
      </c>
      <c r="D11" s="58" t="s">
        <v>672</v>
      </c>
    </row>
    <row r="12" spans="1:4" ht="27.75" customHeight="1">
      <c r="A12" s="58">
        <v>9</v>
      </c>
      <c r="B12" s="58" t="s">
        <v>37</v>
      </c>
      <c r="C12" s="58" t="s">
        <v>673</v>
      </c>
      <c r="D12" s="58" t="s">
        <v>674</v>
      </c>
    </row>
    <row r="13" spans="1:4" ht="27.75" customHeight="1">
      <c r="A13" s="58">
        <v>10</v>
      </c>
      <c r="B13" s="58" t="s">
        <v>39</v>
      </c>
      <c r="C13" s="58" t="s">
        <v>675</v>
      </c>
      <c r="D13" s="58" t="s">
        <v>676</v>
      </c>
    </row>
    <row r="14" spans="1:4" ht="15" customHeight="1">
      <c r="A14" s="58">
        <v>11</v>
      </c>
      <c r="B14" s="58" t="s">
        <v>677</v>
      </c>
      <c r="C14" s="58" t="s">
        <v>678</v>
      </c>
      <c r="D14" s="58" t="s">
        <v>679</v>
      </c>
    </row>
    <row r="15" spans="1:4" ht="27.75" customHeight="1">
      <c r="A15" s="58">
        <v>12</v>
      </c>
      <c r="B15" s="58" t="s">
        <v>41</v>
      </c>
      <c r="C15" s="58" t="s">
        <v>680</v>
      </c>
      <c r="D15" s="58" t="s">
        <v>681</v>
      </c>
    </row>
    <row r="16" spans="1:4" ht="27.75" customHeight="1">
      <c r="A16" s="58">
        <v>13</v>
      </c>
      <c r="B16" s="58" t="s">
        <v>43</v>
      </c>
      <c r="C16" s="58" t="s">
        <v>682</v>
      </c>
      <c r="D16" s="58" t="s">
        <v>683</v>
      </c>
    </row>
    <row r="17" spans="1:4" ht="41.25" customHeight="1">
      <c r="A17" s="58">
        <v>14</v>
      </c>
      <c r="B17" s="58" t="s">
        <v>684</v>
      </c>
      <c r="C17" s="58" t="s">
        <v>685</v>
      </c>
      <c r="D17" s="58" t="s">
        <v>686</v>
      </c>
    </row>
    <row r="18" spans="1:4" ht="27.75" customHeight="1">
      <c r="A18" s="58">
        <v>15</v>
      </c>
      <c r="B18" s="58" t="s">
        <v>687</v>
      </c>
      <c r="C18" s="58" t="s">
        <v>688</v>
      </c>
      <c r="D18" s="58" t="s">
        <v>689</v>
      </c>
    </row>
    <row r="19" spans="1:4" ht="27.75" customHeight="1">
      <c r="A19" s="58">
        <v>16</v>
      </c>
      <c r="B19" s="58" t="s">
        <v>41</v>
      </c>
      <c r="C19" s="58" t="s">
        <v>690</v>
      </c>
      <c r="D19" s="58" t="s">
        <v>691</v>
      </c>
    </row>
    <row r="20" spans="1:4" ht="41.25" customHeight="1">
      <c r="A20" s="58">
        <v>17</v>
      </c>
      <c r="B20" s="58" t="s">
        <v>692</v>
      </c>
      <c r="C20" s="58" t="s">
        <v>693</v>
      </c>
      <c r="D20" s="58" t="s">
        <v>694</v>
      </c>
    </row>
    <row r="21" spans="1:4" ht="27.75" customHeight="1">
      <c r="A21" s="58">
        <v>18</v>
      </c>
      <c r="B21" s="58" t="s">
        <v>695</v>
      </c>
      <c r="C21" s="58" t="s">
        <v>696</v>
      </c>
      <c r="D21" s="58" t="s">
        <v>697</v>
      </c>
    </row>
    <row r="22" spans="1:4" ht="27.75" customHeight="1">
      <c r="A22" s="58">
        <v>19</v>
      </c>
      <c r="B22" s="58" t="s">
        <v>698</v>
      </c>
      <c r="C22" s="58" t="s">
        <v>699</v>
      </c>
      <c r="D22" s="58" t="s">
        <v>700</v>
      </c>
    </row>
    <row r="23" spans="1:4" ht="30.75" customHeight="1">
      <c r="A23" s="58">
        <v>20</v>
      </c>
      <c r="B23" s="58" t="s">
        <v>701</v>
      </c>
      <c r="C23" s="58" t="s">
        <v>702</v>
      </c>
      <c r="D23" s="58" t="s">
        <v>703</v>
      </c>
    </row>
    <row r="24" spans="1:4" ht="27.75" customHeight="1">
      <c r="A24" s="58">
        <v>21</v>
      </c>
      <c r="B24" s="58" t="s">
        <v>704</v>
      </c>
      <c r="C24" s="58" t="s">
        <v>705</v>
      </c>
      <c r="D24" s="58" t="s">
        <v>706</v>
      </c>
    </row>
    <row r="25" spans="1:4" ht="27.75" customHeight="1">
      <c r="A25" s="58">
        <v>22</v>
      </c>
      <c r="B25" s="58" t="s">
        <v>707</v>
      </c>
      <c r="C25" s="58" t="s">
        <v>708</v>
      </c>
      <c r="D25" s="58" t="s">
        <v>709</v>
      </c>
    </row>
    <row r="26" spans="1:4" ht="27.75" customHeight="1">
      <c r="A26" s="58">
        <v>23</v>
      </c>
      <c r="B26" s="58" t="s">
        <v>710</v>
      </c>
      <c r="C26" s="58" t="s">
        <v>711</v>
      </c>
      <c r="D26" s="58" t="s">
        <v>712</v>
      </c>
    </row>
    <row r="27" spans="1:4" ht="41.25" customHeight="1">
      <c r="A27" s="58">
        <v>24</v>
      </c>
      <c r="B27" s="58" t="s">
        <v>713</v>
      </c>
      <c r="C27" s="58" t="s">
        <v>714</v>
      </c>
      <c r="D27" s="58" t="s">
        <v>715</v>
      </c>
    </row>
    <row r="28" spans="1:4" ht="41.25" customHeight="1">
      <c r="A28" s="58">
        <v>25</v>
      </c>
      <c r="B28" s="58" t="s">
        <v>716</v>
      </c>
      <c r="C28" s="58" t="s">
        <v>717</v>
      </c>
      <c r="D28" s="58" t="s">
        <v>718</v>
      </c>
    </row>
    <row r="29" spans="1:4" ht="27.75" customHeight="1">
      <c r="A29" s="58">
        <v>26</v>
      </c>
      <c r="B29" s="58" t="s">
        <v>719</v>
      </c>
      <c r="C29" s="58" t="s">
        <v>720</v>
      </c>
      <c r="D29" s="58" t="s">
        <v>721</v>
      </c>
    </row>
    <row r="30" spans="1:4" ht="41.25" customHeight="1">
      <c r="A30" s="58">
        <v>27</v>
      </c>
      <c r="B30" s="58" t="s">
        <v>722</v>
      </c>
      <c r="C30" s="58" t="s">
        <v>723</v>
      </c>
      <c r="D30" s="58" t="s">
        <v>724</v>
      </c>
    </row>
    <row r="31" spans="1:4" ht="41.25" customHeight="1">
      <c r="A31" s="58">
        <v>28</v>
      </c>
      <c r="B31" s="58" t="s">
        <v>725</v>
      </c>
      <c r="C31" s="58" t="s">
        <v>726</v>
      </c>
      <c r="D31" s="58" t="s">
        <v>727</v>
      </c>
    </row>
    <row r="32" spans="1:4" ht="41.25" customHeight="1">
      <c r="A32" s="58">
        <v>29</v>
      </c>
      <c r="B32" s="58" t="s">
        <v>728</v>
      </c>
      <c r="C32" s="58" t="s">
        <v>729</v>
      </c>
      <c r="D32" s="58" t="s">
        <v>730</v>
      </c>
    </row>
    <row r="33" spans="1:4" ht="41.25" customHeight="1">
      <c r="A33" s="58">
        <v>30</v>
      </c>
      <c r="B33" s="58" t="s">
        <v>731</v>
      </c>
      <c r="C33" s="58" t="s">
        <v>732</v>
      </c>
      <c r="D33" s="58" t="s">
        <v>733</v>
      </c>
    </row>
    <row r="34" spans="1:4" ht="41.25" customHeight="1">
      <c r="A34" s="58">
        <v>31</v>
      </c>
      <c r="B34" s="58" t="s">
        <v>734</v>
      </c>
      <c r="C34" s="58" t="s">
        <v>735</v>
      </c>
      <c r="D34" s="58" t="s">
        <v>736</v>
      </c>
    </row>
    <row r="35" spans="1:4" ht="41.25" customHeight="1">
      <c r="A35" s="58">
        <v>32</v>
      </c>
      <c r="B35" s="58" t="s">
        <v>737</v>
      </c>
      <c r="C35" s="58" t="s">
        <v>738</v>
      </c>
      <c r="D35" s="58" t="s">
        <v>739</v>
      </c>
    </row>
    <row r="36" spans="1:4" ht="41.25" customHeight="1">
      <c r="A36" s="58">
        <v>33</v>
      </c>
      <c r="B36" s="58" t="s">
        <v>740</v>
      </c>
      <c r="C36" s="58" t="s">
        <v>741</v>
      </c>
      <c r="D36" s="58" t="s">
        <v>742</v>
      </c>
    </row>
    <row r="37" spans="1:4" ht="15" customHeight="1">
      <c r="A37" s="59" t="s">
        <v>743</v>
      </c>
      <c r="B37" s="59" t="s">
        <v>744</v>
      </c>
      <c r="C37" s="59"/>
      <c r="D37" s="59"/>
    </row>
    <row r="38" spans="1:4" ht="41.25" customHeight="1">
      <c r="A38" s="58" t="s">
        <v>621</v>
      </c>
      <c r="B38" s="58" t="s">
        <v>328</v>
      </c>
      <c r="C38" s="58" t="s">
        <v>745</v>
      </c>
      <c r="D38" s="58"/>
    </row>
    <row r="39" spans="1:4" ht="15" customHeight="1">
      <c r="A39" s="58" t="s">
        <v>626</v>
      </c>
      <c r="B39" s="58" t="s">
        <v>37</v>
      </c>
      <c r="C39" s="58" t="s">
        <v>746</v>
      </c>
      <c r="D39" s="58"/>
    </row>
    <row r="40" spans="1:4" ht="27.75" customHeight="1">
      <c r="A40" s="58" t="s">
        <v>631</v>
      </c>
      <c r="B40" s="58" t="s">
        <v>33</v>
      </c>
      <c r="C40" s="58" t="s">
        <v>747</v>
      </c>
      <c r="D40" s="58"/>
    </row>
    <row r="41" spans="1:4" ht="27.75" customHeight="1">
      <c r="A41" s="58" t="s">
        <v>636</v>
      </c>
      <c r="B41" s="58" t="s">
        <v>41</v>
      </c>
      <c r="C41" s="58" t="s">
        <v>748</v>
      </c>
      <c r="D41" s="58"/>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8</cp:revision>
  <dcterms:created xsi:type="dcterms:W3CDTF">2026-10-01T16:23:27Z</dcterms:created>
  <dcterms:modified xsi:type="dcterms:W3CDTF">2026-10-05T14:37:17Z</dcterms:modified>
  <cp:category/>
  <cp:contentStatus/>
</cp:coreProperties>
</file>